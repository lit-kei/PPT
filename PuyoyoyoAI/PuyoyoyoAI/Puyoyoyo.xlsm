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7cffb8cf5c5f3c/Desktop/Keisuke/programming/visualStudio/PPTAI/PuyoyoyoAI/PuyoyoyoAI/"/>
    </mc:Choice>
  </mc:AlternateContent>
  <xr:revisionPtr revIDLastSave="27670" documentId="14_{E00493E1-AACE-408C-9CE6-B64AAB846EDF}" xr6:coauthVersionLast="47" xr6:coauthVersionMax="47" xr10:uidLastSave="{76D84806-2481-4996-A92F-D26AD8BC3885}"/>
  <bookViews>
    <workbookView xWindow="34464" yWindow="0" windowWidth="11712" windowHeight="12336" xr2:uid="{831727B2-64B6-4F94-8D86-A62BAD20BA22}"/>
  </bookViews>
  <sheets>
    <sheet name="盤面の解析" sheetId="13" r:id="rId1"/>
    <sheet name="color" sheetId="1" r:id="rId2"/>
    <sheet name="テンプレート配列の作成" sheetId="10" r:id="rId3"/>
    <sheet name="重み配列の作成" sheetId="11" r:id="rId4"/>
    <sheet name="application" sheetId="7" r:id="rId5"/>
    <sheet name="dropPlace" sheetId="2" r:id="rId6"/>
    <sheet name="trace" sheetId="5" r:id="rId7"/>
  </sheets>
  <definedNames>
    <definedName name="_xlnm._FilterDatabase" localSheetId="5" hidden="1">dropPlace!$A$1:$C$23</definedName>
    <definedName name="A0">color!$XEP$1048563</definedName>
    <definedName name="ExternalData_1" localSheetId="4" hidden="1">application!$A$1:$B$114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11" l="1"/>
  <c r="D2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21" i="7"/>
  <c r="A22" i="7"/>
  <c r="A23" i="7"/>
  <c r="A24" i="7"/>
  <c r="A25" i="7"/>
  <c r="A26" i="7"/>
  <c r="A27" i="7"/>
  <c r="A28" i="7"/>
  <c r="A29" i="7"/>
  <c r="A30" i="7"/>
  <c r="A15" i="7"/>
  <c r="A16" i="7"/>
  <c r="A17" i="7"/>
  <c r="A18" i="7"/>
  <c r="A19" i="7"/>
  <c r="A20" i="7"/>
  <c r="A3" i="7"/>
  <c r="A4" i="7"/>
  <c r="A5" i="7"/>
  <c r="A6" i="7"/>
  <c r="A7" i="7"/>
  <c r="A8" i="7"/>
  <c r="A9" i="7"/>
  <c r="A10" i="7"/>
  <c r="A11" i="7"/>
  <c r="A12" i="7"/>
  <c r="A13" i="7"/>
  <c r="A14" i="7"/>
  <c r="A2" i="7"/>
  <c r="E14" i="1"/>
  <c r="E15" i="1"/>
  <c r="E16" i="1"/>
  <c r="E17" i="1"/>
  <c r="E13" i="1"/>
  <c r="B14" i="1"/>
  <c r="B15" i="1"/>
  <c r="B16" i="1"/>
  <c r="B17" i="1"/>
  <c r="B9" i="1"/>
  <c r="C9" i="1"/>
  <c r="D9" i="1"/>
  <c r="B10" i="1"/>
  <c r="C10" i="1"/>
  <c r="D10" i="1"/>
  <c r="B8" i="1"/>
  <c r="C8" i="1"/>
  <c r="D8" i="1"/>
  <c r="B7" i="1"/>
  <c r="C7" i="1"/>
  <c r="D7" i="1"/>
  <c r="B13" i="1"/>
  <c r="B3" i="1"/>
  <c r="C3" i="1"/>
  <c r="D3" i="1"/>
  <c r="B4" i="1"/>
  <c r="C4" i="1"/>
  <c r="D4" i="1"/>
  <c r="B5" i="1"/>
  <c r="C5" i="1"/>
  <c r="D5" i="1"/>
  <c r="B6" i="1"/>
  <c r="C6" i="1"/>
  <c r="D6" i="1"/>
  <c r="C2" i="1"/>
  <c r="D2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98EFB0-278D-4EF4-9F05-6D55F38D769F}" keepAlive="1" name="クエリ - application" description="ブック内の 'application' クエリへの接続です。" type="5" refreshedVersion="8" background="1" saveData="1">
    <dbPr connection="Provider=Microsoft.Mashup.OleDb.1;Data Source=$Workbook$;Location=application;Extended Properties=&quot;&quot;" command="SELECT * FROM [application]"/>
  </connection>
  <connection id="2" xr16:uid="{4C303025-E690-4BAF-9ACD-15762F31B176}" keepAlive="1" name="クエリ - application (2)" description="ブック内の 'application (2)' クエリへの接続です。" type="5" refreshedVersion="0" background="1" saveData="1">
    <dbPr connection="Provider=Microsoft.Mashup.OleDb.1;Data Source=$Workbook$;Location=&quot;application (2)&quot;;Extended Properties=&quot;&quot;" command="SELECT * FROM [application (2)]"/>
  </connection>
  <connection id="3" xr16:uid="{BB928DB2-9E07-4045-9C0B-913184E982BB}" keepAlive="1" name="クエリ - application (3)" description="ブック内の 'application (3)' クエリへの接続です。" type="5" refreshedVersion="0" background="1" saveData="1">
    <dbPr connection="Provider=Microsoft.Mashup.OleDb.1;Data Source=$Workbook$;Location=&quot;application (3)&quot;;Extended Properties=&quot;&quot;" command="SELECT * FROM [application (3)]"/>
  </connection>
</connections>
</file>

<file path=xl/sharedStrings.xml><?xml version="1.0" encoding="utf-8"?>
<sst xmlns="http://schemas.openxmlformats.org/spreadsheetml/2006/main" count="102" uniqueCount="84">
  <si>
    <t>color</t>
    <phoneticPr fontId="1"/>
  </si>
  <si>
    <t>R</t>
    <phoneticPr fontId="1"/>
  </si>
  <si>
    <t>G</t>
    <phoneticPr fontId="1"/>
  </si>
  <si>
    <t>B</t>
    <phoneticPr fontId="1"/>
  </si>
  <si>
    <t>red</t>
    <phoneticPr fontId="1"/>
  </si>
  <si>
    <t>yerrow</t>
    <phoneticPr fontId="1"/>
  </si>
  <si>
    <t>green</t>
    <phoneticPr fontId="1"/>
  </si>
  <si>
    <t>blue</t>
    <phoneticPr fontId="1"/>
  </si>
  <si>
    <t>purple</t>
    <phoneticPr fontId="1"/>
  </si>
  <si>
    <t>c2</t>
    <phoneticPr fontId="1"/>
  </si>
  <si>
    <t>7f</t>
    <phoneticPr fontId="1"/>
  </si>
  <si>
    <t>7d</t>
    <phoneticPr fontId="1"/>
  </si>
  <si>
    <t>1d</t>
    <phoneticPr fontId="1"/>
  </si>
  <si>
    <t>dc</t>
    <phoneticPr fontId="1"/>
  </si>
  <si>
    <t>bd</t>
    <phoneticPr fontId="1"/>
  </si>
  <si>
    <t>2e</t>
    <phoneticPr fontId="1"/>
  </si>
  <si>
    <t>d1</t>
    <phoneticPr fontId="1"/>
  </si>
  <si>
    <t>b0</t>
    <phoneticPr fontId="1"/>
  </si>
  <si>
    <t>7c</t>
    <phoneticPr fontId="1"/>
  </si>
  <si>
    <t>d3</t>
    <phoneticPr fontId="1"/>
  </si>
  <si>
    <t>ojama</t>
    <phoneticPr fontId="1"/>
  </si>
  <si>
    <t>6b</t>
    <phoneticPr fontId="1"/>
  </si>
  <si>
    <t>id</t>
    <phoneticPr fontId="1"/>
  </si>
  <si>
    <t>x</t>
    <phoneticPr fontId="1"/>
  </si>
  <si>
    <t>zButton</t>
    <phoneticPr fontId="1"/>
  </si>
  <si>
    <t>queue</t>
    <phoneticPr fontId="1"/>
  </si>
  <si>
    <t>0,0</t>
    <phoneticPr fontId="1"/>
  </si>
  <si>
    <t>null</t>
    <phoneticPr fontId="1"/>
  </si>
  <si>
    <t>1,1</t>
    <phoneticPr fontId="1"/>
  </si>
  <si>
    <t>1,1,1</t>
    <phoneticPr fontId="1"/>
  </si>
  <si>
    <t>2,2,0,0</t>
    <phoneticPr fontId="1"/>
  </si>
  <si>
    <t>2,2,0</t>
    <phoneticPr fontId="1"/>
  </si>
  <si>
    <t>2,2</t>
    <phoneticPr fontId="1"/>
  </si>
  <si>
    <t>2,2,1</t>
    <phoneticPr fontId="1"/>
  </si>
  <si>
    <t>2,2,1,1</t>
    <phoneticPr fontId="1"/>
  </si>
  <si>
    <t>2,2,1,1,1</t>
    <phoneticPr fontId="1"/>
  </si>
  <si>
    <t>2,1</t>
    <phoneticPr fontId="1"/>
  </si>
  <si>
    <t>2,0</t>
    <phoneticPr fontId="1"/>
  </si>
  <si>
    <t>2,1,1</t>
    <phoneticPr fontId="1"/>
  </si>
  <si>
    <t>2,1,1,1</t>
    <phoneticPr fontId="1"/>
  </si>
  <si>
    <t>3,0,0</t>
    <phoneticPr fontId="1"/>
  </si>
  <si>
    <t>3,0</t>
    <phoneticPr fontId="1"/>
  </si>
  <si>
    <t>3,1</t>
    <phoneticPr fontId="1"/>
  </si>
  <si>
    <t>3,1,1</t>
    <phoneticPr fontId="1"/>
  </si>
  <si>
    <t>test1</t>
    <phoneticPr fontId="1"/>
  </si>
  <si>
    <t>test2</t>
    <phoneticPr fontId="1"/>
  </si>
  <si>
    <t>test3</t>
    <phoneticPr fontId="1"/>
  </si>
  <si>
    <t>j</t>
    <phoneticPr fontId="1"/>
  </si>
  <si>
    <t>r</t>
    <phoneticPr fontId="1"/>
  </si>
  <si>
    <t>e</t>
    <phoneticPr fontId="1"/>
  </si>
  <si>
    <t>i</t>
    <phoneticPr fontId="1"/>
  </si>
  <si>
    <t>i = T_WIDTH - 1</t>
    <phoneticPr fontId="1"/>
  </si>
  <si>
    <t>j = T_WIDTH - i</t>
    <phoneticPr fontId="1"/>
  </si>
  <si>
    <t>j--</t>
    <phoneticPr fontId="1"/>
  </si>
  <si>
    <t>Column1</t>
  </si>
  <si>
    <t>Column2</t>
  </si>
  <si>
    <t>Average</t>
    <phoneticPr fontId="1"/>
  </si>
  <si>
    <t>b2</t>
    <phoneticPr fontId="1"/>
  </si>
  <si>
    <t>盤面</t>
    <rPh sb="0" eb="2">
      <t>バンメン</t>
    </rPh>
    <phoneticPr fontId="1"/>
  </si>
  <si>
    <t>LABEL配列</t>
    <rPh sb="5" eb="7">
      <t>ハイレツ</t>
    </rPh>
    <phoneticPr fontId="1"/>
  </si>
  <si>
    <t>ID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</si>
  <si>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</si>
  <si>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</si>
  <si>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</si>
  <si>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</si>
  <si>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コピーを保存するところ</t>
    <rPh sb="4" eb="6">
      <t>ホゾン</t>
    </rPh>
    <phoneticPr fontId="1"/>
  </si>
  <si>
    <t>f</t>
    <phoneticPr fontId="1"/>
  </si>
  <si>
    <t>合計</t>
    <rPh sb="0" eb="2">
      <t>ゴウケイ</t>
    </rPh>
    <phoneticPr fontId="1"/>
  </si>
  <si>
    <t>重み配列（例）</t>
    <rPh sb="0" eb="1">
      <t>オモ</t>
    </rPh>
    <rPh sb="2" eb="4">
      <t>ハイレツ</t>
    </rPh>
    <rPh sb="5" eb="6">
      <t>レイ</t>
    </rPh>
    <phoneticPr fontId="1"/>
  </si>
  <si>
    <t>配列</t>
    <rPh sb="0" eb="2">
      <t>ハイレツ</t>
    </rPh>
    <phoneticPr fontId="1"/>
  </si>
  <si>
    <t>配列の要素</t>
    <rPh sb="0" eb="2">
      <t>ハイレツ</t>
    </rPh>
    <rPh sb="3" eb="5">
      <t>ヨウソ</t>
    </rPh>
    <phoneticPr fontId="1"/>
  </si>
  <si>
    <t>{ 0,200,200,200,200,100,100,100,100,50,50,50,50,50,50,0 }</t>
    <phoneticPr fontId="1"/>
  </si>
  <si>
    <t xml:space="preserve">     { 0,250,220,200,250,100,100,100,50,50,50,50,50,50,50,0 },
    { 0,250,220,200,250,100,100,100,50,50,50,50,50,50,50,0 },
    { 0,250,250,200,100,100,100,100,50,50,50,50,50,50,0,0 },
    { 0,250,250,200,250,100,100,100,100,50,50,50,50,50,50,0 },
    { 0,200,200,200,200,100,100,100,100,50,50,50,50,50,50,0 }</t>
    <phoneticPr fontId="1"/>
  </si>
  <si>
    <t>テンプレート名</t>
    <rPh sb="6" eb="7">
      <t>メイ</t>
    </rPh>
    <phoneticPr fontId="1"/>
  </si>
  <si>
    <t>真偽値行列</t>
    <rPh sb="0" eb="3">
      <t>シンギチ</t>
    </rPh>
    <rPh sb="3" eb="5">
      <t>ギョウレツ</t>
    </rPh>
    <phoneticPr fontId="1"/>
  </si>
  <si>
    <t>{ 0,250,200,200,200,100,100,100,50,50,50,50,50,50,50,0 },</t>
    <phoneticPr fontId="1"/>
  </si>
  <si>
    <t>{
	0b00'00'00'00'00'00'00'00'00'00'00'00'00'00'00'00,
	0b00'00'00'10'10'00'00'00'00'10'10'00'00'10'01'01,
	0b00'00'10'10'00'00'00'00'00'00'10'00'10'01'01'00,
	0b00'00'00'00'00'00'00'00'00'00'00'10'01'01'00'00,
	0b00'00'00'00'00'00'00'00'00'00'10'01'01'00'00'00,
	0b00'00'00'00'00'00'00'00'10'10'01'01'10'00'00'00,
	0b00'00'00'00'00'00'00'10'10'01'01'00'00'00'00'00,
	0b00'00'00'00'10'10'10'00'01'01'00'00'00'00'00'00,
	0b00'00'00'00'00'00'10'01'00'00'00'00'00'00'00'00
}</t>
    <phoneticPr fontId="1"/>
  </si>
  <si>
    <t>H</t>
    <phoneticPr fontId="1"/>
  </si>
  <si>
    <t>{0xd21223,0xc1253,0xb1543,0xa67554,0x96674,0x87674}</t>
    <phoneticPr fontId="1"/>
  </si>
  <si>
    <t>{
	0b00'00'00'00'00'00'00'00'00'00'00'00'00'00'00'00,
	0b00'00'00'10'10'00'00'00'10'00'10'00'00'10'01'01,
	0b00'00'10'10'00'00'00'00'00'00'10'00'10'01'01'00,
	0b00'00'00'00'00'00'00'00'00'00'10'10'01'01'00'00,
	0b00'00'00'00'00'00'00'00'10'00'10'01'01'00'00'00,
	0b00'00'00'00'00'00'00'00'10'10'01'01'10'00'00'00,
	0b00'00'00'00'10'10'10'00'10'01'01'00'00'00'00'00,
	0b00'00'00'00'00'00'00'10'01'01'00'00'00'00'00'00,
	0b00'00'00'00'00'00'10'01'00'00'00'00'00'00'00'00
}</t>
    <phoneticPr fontId="1"/>
  </si>
  <si>
    <t>3334442545772255661117672cb698d00a00000000000000000000000000000000000000000000</t>
    <phoneticPr fontId="1"/>
  </si>
  <si>
    <t>{</t>
  </si>
  <si>
    <t>,</t>
  </si>
  <si>
    <t>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</si>
</sst>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22"/>
      <color theme="1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sz val="14"/>
      <color rgb="FF000000"/>
      <name val="游ゴシック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6"/>
      <color rgb="FFFFFFFF"/>
      <name val="游ゴシック"/>
      <family val="3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28C880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C8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00A5FF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32C8C8"/>
        <bgColor indexed="64"/>
      </patternFill>
    </fill>
    <fill>
      <patternFill patternType="solid">
        <fgColor rgb="FFFF00A5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9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quotePrefix="1" applyNumberFormat="1">
      <alignment vertical="center"/>
    </xf>
    <xf numFmtId="0" fontId="2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3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2" borderId="7" xfId="0" applyNumberFormat="1" applyFont="1" applyFill="1" applyBorder="1" applyAlignment="1">
      <alignment horizontal="center" vertical="center"/>
    </xf>
    <xf numFmtId="0" fontId="11" fillId="4" borderId="0" xfId="0" applyNumberFormat="1" applyFont="1" applyFill="1" applyAlignment="1">
      <alignment horizontal="center" vertical="center"/>
    </xf>
    <xf numFmtId="0" fontId="11" fillId="5" borderId="0" xfId="0" applyNumberFormat="1" applyFont="1" applyFill="1" applyAlignment="1">
      <alignment horizontal="center" vertical="center"/>
    </xf>
    <xf numFmtId="0" fontId="11" fillId="4" borderId="4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11" fillId="7" borderId="4" xfId="0" applyNumberFormat="1" applyFont="1" applyFill="1" applyBorder="1" applyAlignment="1">
      <alignment horizontal="center" vertical="center"/>
    </xf>
    <xf numFmtId="0" fontId="11" fillId="8" borderId="5" xfId="0" applyNumberFormat="1" applyFont="1" applyFill="1" applyBorder="1" applyAlignment="1">
      <alignment horizontal="center" vertical="center"/>
    </xf>
    <xf numFmtId="0" fontId="11" fillId="3" borderId="4" xfId="0" applyNumberFormat="1" applyFont="1" applyFill="1" applyBorder="1" applyAlignment="1">
      <alignment horizontal="center" vertical="center"/>
    </xf>
    <xf numFmtId="0" fontId="11" fillId="9" borderId="0" xfId="0" applyNumberFormat="1" applyFont="1" applyFill="1" applyAlignment="1">
      <alignment horizontal="center" vertical="center"/>
    </xf>
    <xf numFmtId="0" fontId="11" fillId="10" borderId="0" xfId="0" applyNumberFormat="1" applyFont="1" applyFill="1" applyAlignment="1">
      <alignment horizontal="center" vertical="center"/>
    </xf>
    <xf numFmtId="0" fontId="11" fillId="11" borderId="0" xfId="0" applyNumberFormat="1" applyFont="1" applyFill="1" applyAlignment="1">
      <alignment horizontal="center" vertical="center"/>
    </xf>
    <xf numFmtId="0" fontId="11" fillId="12" borderId="0" xfId="0" applyNumberFormat="1" applyFont="1" applyFill="1" applyAlignment="1">
      <alignment horizontal="center" vertical="center"/>
    </xf>
    <xf numFmtId="0" fontId="11" fillId="13" borderId="5" xfId="0" applyNumberFormat="1" applyFont="1" applyFill="1" applyBorder="1" applyAlignment="1">
      <alignment horizontal="center" vertical="center"/>
    </xf>
    <xf numFmtId="0" fontId="7" fillId="6" borderId="0" xfId="0" applyNumberFormat="1" applyFont="1" applyFill="1" applyAlignment="1">
      <alignment horizontal="center" vertical="center"/>
    </xf>
    <xf numFmtId="0" fontId="11" fillId="13" borderId="0" xfId="0" applyNumberFormat="1" applyFont="1" applyFill="1" applyAlignment="1">
      <alignment horizontal="center" vertical="center"/>
    </xf>
    <xf numFmtId="0" fontId="11" fillId="3" borderId="0" xfId="0" applyNumberFormat="1" applyFont="1" applyFill="1" applyAlignment="1">
      <alignment horizontal="center" vertical="center"/>
    </xf>
    <xf numFmtId="0" fontId="7" fillId="6" borderId="5" xfId="0" applyNumberFormat="1" applyFont="1" applyFill="1" applyBorder="1" applyAlignment="1">
      <alignment horizontal="center" vertical="center"/>
    </xf>
    <xf numFmtId="0" fontId="11" fillId="14" borderId="0" xfId="0" applyNumberFormat="1" applyFont="1" applyFill="1" applyAlignment="1">
      <alignment horizontal="center" vertical="center"/>
    </xf>
    <xf numFmtId="0" fontId="11" fillId="2" borderId="6" xfId="0" applyNumberFormat="1" applyFont="1" applyFill="1" applyBorder="1" applyAlignment="1">
      <alignment horizontal="center" vertical="center"/>
    </xf>
    <xf numFmtId="0" fontId="11" fillId="14" borderId="7" xfId="0" applyNumberFormat="1" applyFont="1" applyFill="1" applyBorder="1" applyAlignment="1">
      <alignment horizontal="center" vertical="center"/>
    </xf>
    <xf numFmtId="0" fontId="11" fillId="14" borderId="8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0" fontId="7" fillId="0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3" fillId="0" borderId="4" xfId="0" applyFont="1" applyBorder="1" applyAlignment="1">
      <alignment vertical="center"/>
    </xf>
    <xf numFmtId="0" fontId="7" fillId="0" borderId="4" xfId="0" applyNumberFormat="1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7" fillId="0" borderId="2" xfId="0" applyNumberFormat="1" applyFont="1" applyFill="1" applyBorder="1" applyAlignment="1">
      <alignment horizontal="center" vertical="center"/>
    </xf>
    <xf numFmtId="0" fontId="7" fillId="0" borderId="3" xfId="0" applyNumberFormat="1" applyFont="1" applyFill="1" applyBorder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11" fillId="16" borderId="0" xfId="0" applyNumberFormat="1" applyFont="1" applyFill="1" applyAlignment="1">
      <alignment horizontal="center" vertical="center"/>
    </xf>
    <xf numFmtId="0" fontId="7" fillId="17" borderId="4" xfId="0" applyNumberFormat="1" applyFont="1" applyFill="1" applyBorder="1" applyAlignment="1">
      <alignment horizontal="center" vertical="center"/>
    </xf>
    <xf numFmtId="0" fontId="7" fillId="17" borderId="0" xfId="0" applyNumberFormat="1" applyFont="1" applyFill="1" applyAlignment="1">
      <alignment horizontal="center" vertical="center"/>
    </xf>
    <xf numFmtId="0" fontId="7" fillId="17" borderId="5" xfId="0" applyNumberFormat="1" applyFont="1" applyFill="1" applyBorder="1" applyAlignment="1">
      <alignment horizontal="center" vertical="center"/>
    </xf>
    <xf numFmtId="0" fontId="11" fillId="16" borderId="6" xfId="0" applyNumberFormat="1" applyFont="1" applyFill="1" applyBorder="1" applyAlignment="1">
      <alignment horizontal="center" vertical="center"/>
    </xf>
    <xf numFmtId="0" fontId="11" fillId="15" borderId="7" xfId="0" applyNumberFormat="1" applyFont="1" applyFill="1" applyBorder="1" applyAlignment="1">
      <alignment horizontal="center" vertical="center"/>
    </xf>
    <xf numFmtId="0" fontId="7" fillId="17" borderId="4" xfId="0" applyFont="1" applyFill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0" fontId="11" fillId="16" borderId="5" xfId="0" applyFont="1" applyFill="1" applyBorder="1" applyAlignment="1">
      <alignment horizontal="center" vertical="center"/>
    </xf>
    <xf numFmtId="0" fontId="7" fillId="17" borderId="0" xfId="0" applyFont="1" applyFill="1" applyAlignment="1">
      <alignment horizontal="center" vertical="center"/>
    </xf>
    <xf numFmtId="0" fontId="7" fillId="17" borderId="5" xfId="0" applyFont="1" applyFill="1" applyBorder="1" applyAlignment="1">
      <alignment horizontal="center" vertical="center"/>
    </xf>
    <xf numFmtId="0" fontId="11" fillId="16" borderId="4" xfId="0" applyNumberFormat="1" applyFont="1" applyFill="1" applyBorder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11" fillId="16" borderId="5" xfId="0" applyNumberFormat="1" applyFont="1" applyFill="1" applyBorder="1" applyAlignment="1">
      <alignment horizontal="center" vertical="center"/>
    </xf>
    <xf numFmtId="0" fontId="11" fillId="15" borderId="5" xfId="0" applyNumberFormat="1" applyFont="1" applyFill="1" applyBorder="1" applyAlignment="1">
      <alignment horizontal="center" vertical="center"/>
    </xf>
    <xf numFmtId="0" fontId="11" fillId="16" borderId="7" xfId="0" applyNumberFormat="1" applyFont="1" applyFill="1" applyBorder="1" applyAlignment="1">
      <alignment horizontal="center" vertical="center"/>
    </xf>
    <xf numFmtId="0" fontId="11" fillId="18" borderId="0" xfId="0" applyFont="1" applyFill="1" applyAlignment="1">
      <alignment horizontal="center" vertical="center"/>
    </xf>
    <xf numFmtId="0" fontId="11" fillId="18" borderId="0" xfId="0" applyNumberFormat="1" applyFont="1" applyFill="1" applyAlignment="1">
      <alignment horizontal="center" vertical="center"/>
    </xf>
    <xf numFmtId="0" fontId="11" fillId="18" borderId="7" xfId="0" applyNumberFormat="1" applyFont="1" applyFill="1" applyBorder="1" applyAlignment="1">
      <alignment horizontal="center" vertical="center"/>
    </xf>
    <xf numFmtId="0" fontId="11" fillId="18" borderId="8" xfId="0" applyNumberFormat="1" applyFont="1" applyFill="1" applyBorder="1" applyAlignment="1">
      <alignment horizontal="center" vertical="center"/>
    </xf>
    <xf numFmtId="0" fontId="11" fillId="15" borderId="5" xfId="0" applyFont="1" applyFill="1" applyBorder="1" applyAlignment="1">
      <alignment horizontal="center" vertical="center"/>
    </xf>
  </cellXfs>
  <cellStyles count="1">
    <cellStyle name="標準" xfId="0" builtinId="0"/>
  </cellStyles>
  <dxfs count="4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777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RGB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color!$B$1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color!$A$2:$A$10</c:f>
              <c:strCache>
                <c:ptCount val="9"/>
                <c:pt idx="0">
                  <c:v>red</c:v>
                </c:pt>
                <c:pt idx="1">
                  <c:v>yerrow</c:v>
                </c:pt>
                <c:pt idx="2">
                  <c:v>green</c:v>
                </c:pt>
                <c:pt idx="3">
                  <c:v>blue</c:v>
                </c:pt>
                <c:pt idx="4">
                  <c:v>purple</c:v>
                </c:pt>
                <c:pt idx="5">
                  <c:v>ojama</c:v>
                </c:pt>
                <c:pt idx="6">
                  <c:v>test1</c:v>
                </c:pt>
                <c:pt idx="7">
                  <c:v>test2</c:v>
                </c:pt>
                <c:pt idx="8">
                  <c:v>test3</c:v>
                </c:pt>
              </c:strCache>
            </c:strRef>
          </c:cat>
          <c:val>
            <c:numRef>
              <c:f>color!$B$2:$B$10</c:f>
              <c:numCache>
                <c:formatCode>General</c:formatCode>
                <c:ptCount val="9"/>
                <c:pt idx="0">
                  <c:v>194</c:v>
                </c:pt>
                <c:pt idx="1">
                  <c:v>220</c:v>
                </c:pt>
                <c:pt idx="2">
                  <c:v>52</c:v>
                </c:pt>
                <c:pt idx="3">
                  <c:v>72</c:v>
                </c:pt>
                <c:pt idx="4">
                  <c:v>176</c:v>
                </c:pt>
                <c:pt idx="5">
                  <c:v>127</c:v>
                </c:pt>
                <c:pt idx="6">
                  <c:v>120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37-474C-A853-1A037B6AB0A3}"/>
            </c:ext>
          </c:extLst>
        </c:ser>
        <c:ser>
          <c:idx val="1"/>
          <c:order val="1"/>
          <c:tx>
            <c:strRef>
              <c:f>color!$C$1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color!$A$2:$A$10</c:f>
              <c:strCache>
                <c:ptCount val="9"/>
                <c:pt idx="0">
                  <c:v>red</c:v>
                </c:pt>
                <c:pt idx="1">
                  <c:v>yerrow</c:v>
                </c:pt>
                <c:pt idx="2">
                  <c:v>green</c:v>
                </c:pt>
                <c:pt idx="3">
                  <c:v>blue</c:v>
                </c:pt>
                <c:pt idx="4">
                  <c:v>purple</c:v>
                </c:pt>
                <c:pt idx="5">
                  <c:v>ojama</c:v>
                </c:pt>
                <c:pt idx="6">
                  <c:v>test1</c:v>
                </c:pt>
                <c:pt idx="7">
                  <c:v>test2</c:v>
                </c:pt>
                <c:pt idx="8">
                  <c:v>test3</c:v>
                </c:pt>
              </c:strCache>
            </c:strRef>
          </c:cat>
          <c:val>
            <c:numRef>
              <c:f>color!$C$2:$C$10</c:f>
              <c:numCache>
                <c:formatCode>General</c:formatCode>
                <c:ptCount val="9"/>
                <c:pt idx="0">
                  <c:v>127</c:v>
                </c:pt>
                <c:pt idx="1">
                  <c:v>119</c:v>
                </c:pt>
                <c:pt idx="2">
                  <c:v>189</c:v>
                </c:pt>
                <c:pt idx="3">
                  <c:v>104</c:v>
                </c:pt>
                <c:pt idx="4">
                  <c:v>124</c:v>
                </c:pt>
                <c:pt idx="5">
                  <c:v>103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37-474C-A853-1A037B6AB0A3}"/>
            </c:ext>
          </c:extLst>
        </c:ser>
        <c:ser>
          <c:idx val="2"/>
          <c:order val="2"/>
          <c:tx>
            <c:strRef>
              <c:f>color!$D$1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color!$A$2:$A$10</c:f>
              <c:strCache>
                <c:ptCount val="9"/>
                <c:pt idx="0">
                  <c:v>red</c:v>
                </c:pt>
                <c:pt idx="1">
                  <c:v>yerrow</c:v>
                </c:pt>
                <c:pt idx="2">
                  <c:v>green</c:v>
                </c:pt>
                <c:pt idx="3">
                  <c:v>blue</c:v>
                </c:pt>
                <c:pt idx="4">
                  <c:v>purple</c:v>
                </c:pt>
                <c:pt idx="5">
                  <c:v>ojama</c:v>
                </c:pt>
                <c:pt idx="6">
                  <c:v>test1</c:v>
                </c:pt>
                <c:pt idx="7">
                  <c:v>test2</c:v>
                </c:pt>
                <c:pt idx="8">
                  <c:v>test3</c:v>
                </c:pt>
              </c:strCache>
            </c:strRef>
          </c:cat>
          <c:val>
            <c:numRef>
              <c:f>color!$D$2:$D$10</c:f>
              <c:numCache>
                <c:formatCode>General</c:formatCode>
                <c:ptCount val="9"/>
                <c:pt idx="0">
                  <c:v>125</c:v>
                </c:pt>
                <c:pt idx="1">
                  <c:v>29</c:v>
                </c:pt>
                <c:pt idx="2">
                  <c:v>46</c:v>
                </c:pt>
                <c:pt idx="3">
                  <c:v>209</c:v>
                </c:pt>
                <c:pt idx="4">
                  <c:v>211</c:v>
                </c:pt>
                <c:pt idx="5">
                  <c:v>107</c:v>
                </c:pt>
                <c:pt idx="6">
                  <c:v>178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37-474C-A853-1A037B6AB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1332671"/>
        <c:axId val="1491333631"/>
      </c:barChart>
      <c:catAx>
        <c:axId val="149133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1333631"/>
        <c:crosses val="autoZero"/>
        <c:auto val="1"/>
        <c:lblAlgn val="ctr"/>
        <c:lblOffset val="100"/>
        <c:noMultiLvlLbl val="0"/>
      </c:catAx>
      <c:valAx>
        <c:axId val="149133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1332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217170</xdr:colOff>
          <xdr:row>4</xdr:row>
          <xdr:rowOff>430530</xdr:rowOff>
        </xdr:from>
        <xdr:to>
          <xdr:col>7</xdr:col>
          <xdr:colOff>1962150</xdr:colOff>
          <xdr:row>6</xdr:row>
          <xdr:rowOff>156210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365229E3-7EAD-4B34-BF8C-24C078DD4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フィールドをインポートする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188595</xdr:colOff>
          <xdr:row>3</xdr:row>
          <xdr:rowOff>72390</xdr:rowOff>
        </xdr:from>
        <xdr:to>
          <xdr:col>7</xdr:col>
          <xdr:colOff>2004060</xdr:colOff>
          <xdr:row>4</xdr:row>
          <xdr:rowOff>262890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365229E3-7EAD-4B34-BF8C-24C078DD4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色を付ける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261937</xdr:colOff>
      <xdr:row>0</xdr:row>
      <xdr:rowOff>85725</xdr:rowOff>
    </xdr:from>
    <xdr:to>
      <xdr:col>16</xdr:col>
      <xdr:colOff>33337</xdr:colOff>
      <xdr:row>11</xdr:row>
      <xdr:rowOff>209550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106EB42-EFC9-F705-5A4E-6CC6003DA7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10</xdr:row>
          <xdr:rowOff>28575</xdr:rowOff>
        </xdr:from>
        <xdr:to>
          <xdr:col>7</xdr:col>
          <xdr:colOff>4181475</xdr:colOff>
          <xdr:row>11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テンプレートを基に配列を作成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11</xdr:row>
          <xdr:rowOff>257175</xdr:rowOff>
        </xdr:from>
        <xdr:to>
          <xdr:col>7</xdr:col>
          <xdr:colOff>4181475</xdr:colOff>
          <xdr:row>12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フィールドをインポートする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</xdr:row>
          <xdr:rowOff>304800</xdr:rowOff>
        </xdr:from>
        <xdr:to>
          <xdr:col>3</xdr:col>
          <xdr:colOff>1952625</xdr:colOff>
          <xdr:row>5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配列を作成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2257425</xdr:colOff>
          <xdr:row>3</xdr:row>
          <xdr:rowOff>314325</xdr:rowOff>
        </xdr:from>
        <xdr:to>
          <xdr:col>3</xdr:col>
          <xdr:colOff>4076700</xdr:colOff>
          <xdr:row>5</xdr:row>
          <xdr:rowOff>95250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配列を入力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3FB80DC-D7AB-4688-8AE6-7460708C2E00}" autoFormatId="20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27DE2B-A423-4494-A25C-C553A91D2180}" name="application" displayName="application" ref="A1:B114" tableType="queryTable" totalsRowShown="0">
  <autoFilter ref="A1:B114" xr:uid="{4727DE2B-A423-4494-A25C-C553A91D2180}"/>
  <tableColumns count="2">
    <tableColumn id="1" xr3:uid="{516FB982-BBEA-4C7D-82B6-2A1D1D32AA07}" uniqueName="1" name="Column1" queryTableFieldId="1" dataDxfId="0"/>
    <tableColumn id="2" xr3:uid="{8CE8D7DA-2903-4AD8-B494-A0C535F0C287}" uniqueName="2" name="Column2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781AF-3AEB-4E5D-A140-D021912DC29E}">
  <sheetPr codeName="Sheet10"/>
  <dimension ref="A1:M20"/>
  <sheetViews>
    <sheetView tabSelected="1" topLeftCell="A2" workbookViewId="0">
      <selection activeCell="H8" sqref="H8"/>
    </sheetView>
  </sheetViews>
  <sheetFormatPr defaultRowHeight="37.5" customHeight="1" x14ac:dyDescent="0.4"/>
  <cols>
    <col min="1" max="6" width="6.25" customWidth="1"/>
    <col min="7" max="7" width="16.375" style="4" bestFit="1" customWidth="1"/>
    <col min="8" max="8" width="89.125" customWidth="1"/>
  </cols>
  <sheetData>
    <row r="1" spans="1:13" ht="37.5" customHeight="1" x14ac:dyDescent="0.4">
      <c r="A1" s="23"/>
      <c r="B1" s="24"/>
      <c r="C1" s="24"/>
      <c r="D1" s="24"/>
      <c r="E1" s="24"/>
      <c r="F1" s="25"/>
    </row>
    <row r="2" spans="1:13" ht="37.5" customHeight="1" x14ac:dyDescent="0.4">
      <c r="A2" s="59">
        <v>2</v>
      </c>
      <c r="B2" s="26"/>
      <c r="C2" s="26"/>
      <c r="D2" s="26"/>
      <c r="E2" s="26"/>
      <c r="F2" s="27"/>
      <c r="G2" s="47"/>
      <c r="H2" s="5"/>
    </row>
    <row r="3" spans="1:13" ht="37.5" customHeight="1" x14ac:dyDescent="0.4">
      <c r="A3" s="60">
        <v>4</v>
      </c>
      <c r="B3" s="26"/>
      <c r="C3" s="26"/>
      <c r="D3" s="26"/>
      <c r="E3" s="70">
        <v>5</v>
      </c>
      <c r="F3" s="74">
        <v>1</v>
      </c>
      <c r="G3" s="47"/>
      <c r="H3" s="5"/>
    </row>
    <row r="4" spans="1:13" ht="37.5" customHeight="1" x14ac:dyDescent="0.4">
      <c r="A4" s="60">
        <v>4</v>
      </c>
      <c r="B4" s="26"/>
      <c r="C4" s="26"/>
      <c r="D4" s="26"/>
      <c r="E4" s="61">
        <v>4</v>
      </c>
      <c r="F4" s="62">
        <v>4</v>
      </c>
      <c r="G4" s="47"/>
      <c r="H4" s="5"/>
      <c r="I4" s="13"/>
    </row>
    <row r="5" spans="1:13" ht="37.5" customHeight="1" x14ac:dyDescent="0.4">
      <c r="A5" s="59">
        <v>2</v>
      </c>
      <c r="B5" s="26"/>
      <c r="C5" s="26"/>
      <c r="D5" s="26"/>
      <c r="E5" s="63">
        <v>2</v>
      </c>
      <c r="F5" s="62">
        <v>4</v>
      </c>
      <c r="G5" s="47"/>
      <c r="H5" s="5"/>
    </row>
    <row r="6" spans="1:13" ht="37.5" customHeight="1" x14ac:dyDescent="0.4">
      <c r="A6" s="60">
        <v>4</v>
      </c>
      <c r="B6" s="26"/>
      <c r="C6" s="26"/>
      <c r="D6" s="61">
        <v>4</v>
      </c>
      <c r="E6" s="70">
        <v>5</v>
      </c>
      <c r="F6" s="64">
        <v>2</v>
      </c>
      <c r="G6" s="47"/>
      <c r="H6" s="5"/>
    </row>
    <row r="7" spans="1:13" ht="37.5" customHeight="1" x14ac:dyDescent="0.4">
      <c r="A7" s="60">
        <v>4</v>
      </c>
      <c r="B7" s="26"/>
      <c r="C7" s="70">
        <v>5</v>
      </c>
      <c r="D7" s="61">
        <v>4</v>
      </c>
      <c r="E7" s="61">
        <v>4</v>
      </c>
      <c r="F7" s="62">
        <v>4</v>
      </c>
      <c r="G7" s="47"/>
      <c r="H7" s="5"/>
    </row>
    <row r="8" spans="1:13" ht="37.5" customHeight="1" x14ac:dyDescent="0.4">
      <c r="A8" s="65">
        <v>4</v>
      </c>
      <c r="B8" s="63">
        <v>2</v>
      </c>
      <c r="C8" s="66">
        <v>1</v>
      </c>
      <c r="D8" s="52">
        <v>1</v>
      </c>
      <c r="E8" s="63">
        <v>2</v>
      </c>
      <c r="F8" s="56">
        <v>2</v>
      </c>
      <c r="H8" s="12"/>
    </row>
    <row r="9" spans="1:13" ht="37.5" customHeight="1" x14ac:dyDescent="0.4">
      <c r="A9" s="54">
        <v>2</v>
      </c>
      <c r="B9" s="71">
        <v>5</v>
      </c>
      <c r="C9" s="52">
        <v>1</v>
      </c>
      <c r="D9" s="55">
        <v>2</v>
      </c>
      <c r="E9" s="71">
        <v>5</v>
      </c>
      <c r="F9" s="56">
        <v>2</v>
      </c>
    </row>
    <row r="10" spans="1:13" ht="37.5" customHeight="1" x14ac:dyDescent="0.4">
      <c r="A10" s="54">
        <v>2</v>
      </c>
      <c r="B10" s="55">
        <v>2</v>
      </c>
      <c r="C10" s="71">
        <v>5</v>
      </c>
      <c r="D10" s="52">
        <v>1</v>
      </c>
      <c r="E10" s="53">
        <v>4</v>
      </c>
      <c r="F10" s="67">
        <v>4</v>
      </c>
    </row>
    <row r="11" spans="1:13" ht="37.5" customHeight="1" x14ac:dyDescent="0.4">
      <c r="A11" s="65">
        <v>4</v>
      </c>
      <c r="B11" s="53">
        <v>4</v>
      </c>
      <c r="C11" s="71">
        <v>5</v>
      </c>
      <c r="D11" s="52">
        <v>1</v>
      </c>
      <c r="E11" s="71">
        <v>5</v>
      </c>
      <c r="F11" s="67">
        <v>4</v>
      </c>
    </row>
    <row r="12" spans="1:13" ht="37.5" customHeight="1" x14ac:dyDescent="0.4">
      <c r="A12" s="54">
        <v>2</v>
      </c>
      <c r="B12" s="55">
        <v>2</v>
      </c>
      <c r="C12" s="55">
        <v>2</v>
      </c>
      <c r="D12" s="71">
        <v>5</v>
      </c>
      <c r="E12" s="52">
        <v>1</v>
      </c>
      <c r="F12" s="68">
        <v>1</v>
      </c>
    </row>
    <row r="13" spans="1:13" ht="37.5" customHeight="1" thickBot="1" x14ac:dyDescent="0.45">
      <c r="A13" s="57">
        <v>4</v>
      </c>
      <c r="B13" s="69">
        <v>4</v>
      </c>
      <c r="C13" s="72">
        <v>5</v>
      </c>
      <c r="D13" s="72">
        <v>5</v>
      </c>
      <c r="E13" s="58">
        <v>1</v>
      </c>
      <c r="F13" s="73">
        <v>5</v>
      </c>
    </row>
    <row r="14" spans="1:13" ht="37.5" customHeight="1" x14ac:dyDescent="0.4">
      <c r="A14" s="14" t="s">
        <v>58</v>
      </c>
      <c r="B14" s="14"/>
      <c r="C14" s="14"/>
      <c r="D14" s="14"/>
      <c r="E14" s="14"/>
      <c r="F14" s="14"/>
    </row>
    <row r="15" spans="1:13" ht="37.5" customHeight="1" x14ac:dyDescent="0.4">
      <c r="G15" s="46"/>
      <c r="H15" s="5"/>
      <c r="I15" s="5"/>
      <c r="L15" s="5"/>
      <c r="M15" s="5"/>
    </row>
    <row r="16" spans="1:13" ht="37.5" customHeight="1" x14ac:dyDescent="0.4">
      <c r="G16" s="46"/>
      <c r="H16" s="5"/>
    </row>
    <row r="17" spans="7:8" ht="37.5" customHeight="1" x14ac:dyDescent="0.4">
      <c r="G17" s="46"/>
      <c r="H17" s="5"/>
    </row>
    <row r="18" spans="7:8" ht="37.5" customHeight="1" x14ac:dyDescent="0.4">
      <c r="G18" s="46"/>
      <c r="H18" s="5"/>
    </row>
    <row r="19" spans="7:8" ht="37.5" customHeight="1" x14ac:dyDescent="0.4">
      <c r="G19" s="46"/>
      <c r="H19" s="5"/>
    </row>
    <row r="20" spans="7:8" ht="37.5" customHeight="1" x14ac:dyDescent="0.4">
      <c r="G20" s="46"/>
      <c r="H20" s="5"/>
    </row>
  </sheetData>
  <mergeCells count="1">
    <mergeCell ref="A14:F14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Field">
                <anchor moveWithCells="1" sizeWithCells="1">
                  <from>
                    <xdr:col>6</xdr:col>
                    <xdr:colOff>219075</xdr:colOff>
                    <xdr:row>4</xdr:row>
                    <xdr:rowOff>428625</xdr:rowOff>
                  </from>
                  <to>
                    <xdr:col>7</xdr:col>
                    <xdr:colOff>1962150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NumToColor">
                <anchor moveWithCells="1" sizeWithCells="1">
                  <from>
                    <xdr:col>6</xdr:col>
                    <xdr:colOff>190500</xdr:colOff>
                    <xdr:row>3</xdr:row>
                    <xdr:rowOff>76200</xdr:rowOff>
                  </from>
                  <to>
                    <xdr:col>7</xdr:col>
                    <xdr:colOff>2000250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382D6-FA13-4A78-BB2B-213FA50E6784}">
  <sheetPr codeName="Sheet1"/>
  <dimension ref="A1:I24"/>
  <sheetViews>
    <sheetView topLeftCell="A19" workbookViewId="0">
      <selection activeCell="B22" sqref="B22"/>
    </sheetView>
  </sheetViews>
  <sheetFormatPr defaultRowHeight="18.75" x14ac:dyDescent="0.4"/>
  <sheetData>
    <row r="1" spans="1:9" x14ac:dyDescent="0.4">
      <c r="A1" t="s">
        <v>0</v>
      </c>
      <c r="B1" t="s">
        <v>1</v>
      </c>
      <c r="C1" t="s">
        <v>2</v>
      </c>
      <c r="D1" t="s">
        <v>3</v>
      </c>
      <c r="F1" t="s">
        <v>1</v>
      </c>
      <c r="G1" t="s">
        <v>2</v>
      </c>
      <c r="H1" t="s">
        <v>3</v>
      </c>
    </row>
    <row r="2" spans="1:9" x14ac:dyDescent="0.4">
      <c r="A2" t="s">
        <v>4</v>
      </c>
      <c r="B2">
        <f>HEX2DEC(F2)</f>
        <v>194</v>
      </c>
      <c r="C2">
        <f t="shared" ref="C2:D2" si="0">HEX2DEC(G2)</f>
        <v>127</v>
      </c>
      <c r="D2">
        <f t="shared" si="0"/>
        <v>125</v>
      </c>
      <c r="F2" t="s">
        <v>9</v>
      </c>
      <c r="G2" t="s">
        <v>10</v>
      </c>
      <c r="H2" t="s">
        <v>11</v>
      </c>
    </row>
    <row r="3" spans="1:9" x14ac:dyDescent="0.4">
      <c r="A3" t="s">
        <v>5</v>
      </c>
      <c r="B3">
        <f t="shared" ref="B3:B6" si="1">HEX2DEC(F3)</f>
        <v>220</v>
      </c>
      <c r="C3">
        <f t="shared" ref="C3:C6" si="2">HEX2DEC(G3)</f>
        <v>119</v>
      </c>
      <c r="D3">
        <f t="shared" ref="D3:D6" si="3">HEX2DEC(H3)</f>
        <v>29</v>
      </c>
      <c r="F3" t="s">
        <v>13</v>
      </c>
      <c r="G3">
        <v>77</v>
      </c>
      <c r="H3" t="s">
        <v>12</v>
      </c>
    </row>
    <row r="4" spans="1:9" x14ac:dyDescent="0.4">
      <c r="A4" t="s">
        <v>6</v>
      </c>
      <c r="B4">
        <f t="shared" si="1"/>
        <v>52</v>
      </c>
      <c r="C4">
        <f t="shared" si="2"/>
        <v>189</v>
      </c>
      <c r="D4">
        <f t="shared" si="3"/>
        <v>46</v>
      </c>
      <c r="F4">
        <v>34</v>
      </c>
      <c r="G4" t="s">
        <v>14</v>
      </c>
      <c r="H4" t="s">
        <v>15</v>
      </c>
    </row>
    <row r="5" spans="1:9" x14ac:dyDescent="0.4">
      <c r="A5" t="s">
        <v>7</v>
      </c>
      <c r="B5">
        <f t="shared" si="1"/>
        <v>72</v>
      </c>
      <c r="C5">
        <f t="shared" si="2"/>
        <v>104</v>
      </c>
      <c r="D5">
        <f t="shared" si="3"/>
        <v>209</v>
      </c>
      <c r="F5">
        <v>48</v>
      </c>
      <c r="G5">
        <v>68</v>
      </c>
      <c r="H5" t="s">
        <v>16</v>
      </c>
    </row>
    <row r="6" spans="1:9" x14ac:dyDescent="0.4">
      <c r="A6" t="s">
        <v>8</v>
      </c>
      <c r="B6">
        <f t="shared" si="1"/>
        <v>176</v>
      </c>
      <c r="C6">
        <f t="shared" si="2"/>
        <v>124</v>
      </c>
      <c r="D6">
        <f t="shared" si="3"/>
        <v>211</v>
      </c>
      <c r="F6" t="s">
        <v>17</v>
      </c>
      <c r="G6" t="s">
        <v>18</v>
      </c>
      <c r="H6" t="s">
        <v>19</v>
      </c>
    </row>
    <row r="7" spans="1:9" x14ac:dyDescent="0.4">
      <c r="A7" t="s">
        <v>20</v>
      </c>
      <c r="B7">
        <f t="shared" ref="B7" si="4">HEX2DEC(F7)</f>
        <v>127</v>
      </c>
      <c r="C7">
        <f t="shared" ref="C7" si="5">HEX2DEC(G7)</f>
        <v>103</v>
      </c>
      <c r="D7">
        <f t="shared" ref="D7" si="6">HEX2DEC(H7)</f>
        <v>107</v>
      </c>
      <c r="F7" t="s">
        <v>10</v>
      </c>
      <c r="G7">
        <v>67</v>
      </c>
      <c r="H7" t="s">
        <v>21</v>
      </c>
    </row>
    <row r="8" spans="1:9" x14ac:dyDescent="0.4">
      <c r="A8" t="s">
        <v>44</v>
      </c>
      <c r="B8">
        <f t="shared" ref="B8" si="7">HEX2DEC(F8)</f>
        <v>120</v>
      </c>
      <c r="C8">
        <f t="shared" ref="C8" si="8">HEX2DEC(G8)</f>
        <v>55</v>
      </c>
      <c r="D8">
        <f t="shared" ref="D8" si="9">HEX2DEC(H8)</f>
        <v>178</v>
      </c>
      <c r="F8">
        <v>78</v>
      </c>
      <c r="G8">
        <v>37</v>
      </c>
      <c r="H8" t="s">
        <v>57</v>
      </c>
      <c r="I8" s="2"/>
    </row>
    <row r="9" spans="1:9" x14ac:dyDescent="0.4">
      <c r="A9" t="s">
        <v>45</v>
      </c>
      <c r="B9">
        <f t="shared" ref="B9:B10" si="10">HEX2DEC(F9)</f>
        <v>0</v>
      </c>
      <c r="C9">
        <f t="shared" ref="C9:C10" si="11">HEX2DEC(G9)</f>
        <v>0</v>
      </c>
      <c r="D9">
        <f t="shared" ref="D9:D10" si="12">HEX2DEC(H9)</f>
        <v>0</v>
      </c>
      <c r="I9" s="2"/>
    </row>
    <row r="10" spans="1:9" x14ac:dyDescent="0.4">
      <c r="A10" t="s">
        <v>46</v>
      </c>
      <c r="B10">
        <f t="shared" si="10"/>
        <v>0</v>
      </c>
      <c r="C10">
        <f t="shared" si="11"/>
        <v>0</v>
      </c>
      <c r="D10">
        <f t="shared" si="12"/>
        <v>0</v>
      </c>
      <c r="I10" s="2"/>
    </row>
    <row r="11" spans="1:9" x14ac:dyDescent="0.4">
      <c r="I11" s="2"/>
    </row>
    <row r="12" spans="1:9" x14ac:dyDescent="0.4">
      <c r="B12">
        <v>16</v>
      </c>
      <c r="C12">
        <v>10</v>
      </c>
      <c r="E12">
        <v>10</v>
      </c>
      <c r="F12">
        <v>16</v>
      </c>
    </row>
    <row r="13" spans="1:9" x14ac:dyDescent="0.4">
      <c r="B13" t="str">
        <f>DEC2HEX(C13)</f>
        <v>19</v>
      </c>
      <c r="C13">
        <v>25</v>
      </c>
      <c r="E13">
        <f>HEX2DEC(F13)</f>
        <v>57</v>
      </c>
      <c r="F13">
        <v>39</v>
      </c>
    </row>
    <row r="14" spans="1:9" x14ac:dyDescent="0.4">
      <c r="B14" t="str">
        <f t="shared" ref="B14:B17" si="13">DEC2HEX(C14)</f>
        <v>1E</v>
      </c>
      <c r="C14">
        <v>30</v>
      </c>
      <c r="E14">
        <f t="shared" ref="E14:E17" si="14">HEX2DEC(F14)</f>
        <v>84</v>
      </c>
      <c r="F14">
        <v>54</v>
      </c>
    </row>
    <row r="15" spans="1:9" x14ac:dyDescent="0.4">
      <c r="B15" t="str">
        <f t="shared" si="13"/>
        <v>32</v>
      </c>
      <c r="C15">
        <v>50</v>
      </c>
      <c r="E15">
        <f t="shared" si="14"/>
        <v>99</v>
      </c>
      <c r="F15">
        <v>63</v>
      </c>
    </row>
    <row r="16" spans="1:9" x14ac:dyDescent="0.4">
      <c r="B16" t="str">
        <f t="shared" si="13"/>
        <v>46</v>
      </c>
      <c r="C16">
        <v>70</v>
      </c>
      <c r="E16">
        <f t="shared" si="14"/>
        <v>0</v>
      </c>
    </row>
    <row r="17" spans="1:5" x14ac:dyDescent="0.4">
      <c r="B17" t="str">
        <f t="shared" si="13"/>
        <v>64</v>
      </c>
      <c r="C17">
        <v>100</v>
      </c>
      <c r="E17">
        <f t="shared" si="14"/>
        <v>0</v>
      </c>
    </row>
    <row r="19" spans="1:5" x14ac:dyDescent="0.4">
      <c r="B19" t="s">
        <v>77</v>
      </c>
    </row>
    <row r="20" spans="1:5" x14ac:dyDescent="0.4">
      <c r="A20" t="s">
        <v>4</v>
      </c>
      <c r="B20">
        <v>0</v>
      </c>
    </row>
    <row r="21" spans="1:5" x14ac:dyDescent="0.4">
      <c r="A21" t="s">
        <v>5</v>
      </c>
      <c r="B21">
        <v>50</v>
      </c>
    </row>
    <row r="22" spans="1:5" x14ac:dyDescent="0.4">
      <c r="A22" t="s">
        <v>6</v>
      </c>
      <c r="B22">
        <v>100</v>
      </c>
    </row>
    <row r="23" spans="1:5" x14ac:dyDescent="0.4">
      <c r="A23" t="s">
        <v>7</v>
      </c>
      <c r="B23">
        <v>200</v>
      </c>
    </row>
    <row r="24" spans="1:5" x14ac:dyDescent="0.4">
      <c r="A24" t="s">
        <v>8</v>
      </c>
      <c r="B24">
        <v>270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92099-CE63-4628-8602-2BC3FED2CE45}">
  <sheetPr codeName="Sheet8"/>
  <dimension ref="A1:M20"/>
  <sheetViews>
    <sheetView workbookViewId="0">
      <selection activeCell="A10" sqref="A10:XFD10"/>
    </sheetView>
  </sheetViews>
  <sheetFormatPr defaultRowHeight="37.5" customHeight="1" x14ac:dyDescent="0.4"/>
  <cols>
    <col min="1" max="6" width="6.25" customWidth="1"/>
    <col min="7" max="7" width="16.375" style="4" bestFit="1" customWidth="1"/>
    <col min="8" max="8" width="89.125" customWidth="1"/>
  </cols>
  <sheetData>
    <row r="1" spans="1:13" ht="37.5" customHeight="1" x14ac:dyDescent="0.4">
      <c r="A1" s="49"/>
      <c r="B1" s="50"/>
      <c r="C1" s="50"/>
      <c r="D1" s="50"/>
      <c r="E1" s="50"/>
      <c r="F1" s="51"/>
      <c r="G1" s="4" t="s">
        <v>59</v>
      </c>
      <c r="H1" t="s">
        <v>78</v>
      </c>
    </row>
    <row r="2" spans="1:13" ht="37.5" customHeight="1" x14ac:dyDescent="0.4">
      <c r="A2" s="48"/>
      <c r="B2" s="44"/>
      <c r="C2" s="44"/>
      <c r="D2" s="44"/>
      <c r="E2" s="44"/>
      <c r="F2" s="45"/>
      <c r="G2" s="16" t="s">
        <v>74</v>
      </c>
      <c r="H2" s="15" t="s">
        <v>79</v>
      </c>
    </row>
    <row r="3" spans="1:13" ht="37.5" customHeight="1" x14ac:dyDescent="0.4">
      <c r="A3" s="48"/>
      <c r="B3" s="44"/>
      <c r="C3" s="44"/>
      <c r="D3" s="44"/>
      <c r="E3" s="44"/>
      <c r="F3" s="45"/>
      <c r="G3" s="16"/>
      <c r="H3" s="15"/>
    </row>
    <row r="4" spans="1:13" ht="37.5" customHeight="1" x14ac:dyDescent="0.4">
      <c r="A4" s="48"/>
      <c r="B4" s="44"/>
      <c r="C4" s="44"/>
      <c r="D4" s="44"/>
      <c r="E4" s="44"/>
      <c r="F4" s="45"/>
      <c r="G4" s="16"/>
      <c r="H4" s="15"/>
      <c r="I4" s="13"/>
    </row>
    <row r="5" spans="1:13" ht="37.5" customHeight="1" x14ac:dyDescent="0.4">
      <c r="A5" s="48"/>
      <c r="B5" s="44"/>
      <c r="C5" s="44"/>
      <c r="D5" s="44"/>
      <c r="E5" s="44"/>
      <c r="F5" s="45"/>
      <c r="G5" s="16"/>
      <c r="H5" s="15"/>
    </row>
    <row r="6" spans="1:13" ht="37.5" customHeight="1" x14ac:dyDescent="0.4">
      <c r="A6" s="48"/>
      <c r="B6" s="44"/>
      <c r="C6" s="44"/>
      <c r="D6" s="44"/>
      <c r="E6" s="44"/>
      <c r="F6" s="45"/>
      <c r="G6" s="16"/>
      <c r="H6" s="15"/>
    </row>
    <row r="7" spans="1:13" ht="37.5" customHeight="1" x14ac:dyDescent="0.4">
      <c r="A7" s="48"/>
      <c r="B7" s="44"/>
      <c r="C7" s="44"/>
      <c r="D7" s="44"/>
      <c r="E7" s="44"/>
      <c r="F7" s="45"/>
      <c r="G7" s="16"/>
      <c r="H7" s="15"/>
    </row>
    <row r="8" spans="1:13" ht="37.5" customHeight="1" x14ac:dyDescent="0.4">
      <c r="A8" s="28"/>
      <c r="B8" s="44"/>
      <c r="C8" s="44"/>
      <c r="D8" s="33"/>
      <c r="E8" s="44"/>
      <c r="F8" s="45"/>
      <c r="G8" s="4" t="s">
        <v>60</v>
      </c>
      <c r="H8" s="12" t="s">
        <v>80</v>
      </c>
    </row>
    <row r="9" spans="1:13" ht="37.5" customHeight="1" x14ac:dyDescent="0.4">
      <c r="A9" s="30"/>
      <c r="B9" s="31"/>
      <c r="C9" s="32"/>
      <c r="D9" s="36"/>
      <c r="E9" s="34"/>
      <c r="F9" s="29"/>
      <c r="G9" s="4" t="s">
        <v>68</v>
      </c>
      <c r="H9" t="s">
        <v>71</v>
      </c>
    </row>
    <row r="10" spans="1:13" ht="37.5" customHeight="1" x14ac:dyDescent="0.4">
      <c r="A10" s="22" t="s">
        <v>82</v>
      </c>
      <c r="B10" s="20">
        <v>1</v>
      </c>
      <c r="C10" s="20" t="s">
        <v>83</v>
      </c>
      <c r="D10" s="37"/>
      <c r="E10" s="36"/>
      <c r="F10" s="35"/>
      <c r="G10" s="4" t="s">
        <v>73</v>
      </c>
    </row>
    <row r="11" spans="1:13" ht="37.5" customHeight="1" x14ac:dyDescent="0.4">
      <c r="A11" s="30" t="s">
        <v>82</v>
      </c>
      <c r="B11" s="38">
        <v>6</v>
      </c>
      <c r="C11" s="21">
        <v>4</v>
      </c>
      <c r="D11" s="21">
        <v>7</v>
      </c>
      <c r="E11" s="36" t="s">
        <v>82</v>
      </c>
      <c r="F11" s="39">
        <v>9</v>
      </c>
    </row>
    <row r="12" spans="1:13" ht="37.5" customHeight="1" x14ac:dyDescent="0.4">
      <c r="A12" s="30" t="s">
        <v>82</v>
      </c>
      <c r="B12" s="21">
        <v>1</v>
      </c>
      <c r="C12" s="40">
        <v>5</v>
      </c>
      <c r="D12" s="21">
        <v>6</v>
      </c>
      <c r="E12" s="37">
        <v>1</v>
      </c>
      <c r="F12" s="35">
        <v>4</v>
      </c>
    </row>
    <row r="13" spans="1:13" ht="37.5" customHeight="1" thickBot="1" x14ac:dyDescent="0.45">
      <c r="A13" s="41" t="s">
        <v>81</v>
      </c>
      <c r="B13" s="19">
        <v>1</v>
      </c>
      <c r="C13" s="19">
        <v>2</v>
      </c>
      <c r="D13" s="42"/>
      <c r="E13" s="42">
        <v>2</v>
      </c>
      <c r="F13" s="43">
        <v>1</v>
      </c>
    </row>
    <row r="14" spans="1:13" ht="37.5" customHeight="1" x14ac:dyDescent="0.4">
      <c r="A14" s="14" t="s">
        <v>58</v>
      </c>
      <c r="B14" s="14"/>
      <c r="C14" s="14"/>
      <c r="D14" s="14"/>
      <c r="E14" s="14"/>
      <c r="F14" s="14"/>
    </row>
    <row r="15" spans="1:13" ht="37.5" customHeight="1" x14ac:dyDescent="0.4">
      <c r="G15" s="17" t="s">
        <v>65</v>
      </c>
      <c r="H15" s="15" t="s">
        <v>76</v>
      </c>
      <c r="I15" s="5"/>
      <c r="L15" s="5"/>
      <c r="M15" s="5"/>
    </row>
    <row r="16" spans="1:13" ht="37.5" customHeight="1" x14ac:dyDescent="0.4">
      <c r="G16" s="17"/>
      <c r="H16" s="15"/>
    </row>
    <row r="17" spans="7:8" ht="37.5" customHeight="1" x14ac:dyDescent="0.4">
      <c r="G17" s="17"/>
      <c r="H17" s="15"/>
    </row>
    <row r="18" spans="7:8" ht="37.5" customHeight="1" x14ac:dyDescent="0.4">
      <c r="G18" s="17"/>
      <c r="H18" s="15"/>
    </row>
    <row r="19" spans="7:8" ht="37.5" customHeight="1" x14ac:dyDescent="0.4">
      <c r="G19" s="17"/>
      <c r="H19" s="15"/>
    </row>
    <row r="20" spans="7:8" ht="37.5" customHeight="1" x14ac:dyDescent="0.4">
      <c r="G20" s="17"/>
      <c r="H20" s="15"/>
    </row>
  </sheetData>
  <mergeCells count="5">
    <mergeCell ref="A14:F14"/>
    <mergeCell ref="H2:H7"/>
    <mergeCell ref="G2:G7"/>
    <mergeCell ref="H15:H20"/>
    <mergeCell ref="G15:G20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olorByHexNumber">
                <anchor moveWithCells="1" sizeWithCells="1">
                  <from>
                    <xdr:col>7</xdr:col>
                    <xdr:colOff>104775</xdr:colOff>
                    <xdr:row>10</xdr:row>
                    <xdr:rowOff>28575</xdr:rowOff>
                  </from>
                  <to>
                    <xdr:col>7</xdr:col>
                    <xdr:colOff>4181475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Field">
                <anchor moveWithCells="1" sizeWithCells="1">
                  <from>
                    <xdr:col>7</xdr:col>
                    <xdr:colOff>104775</xdr:colOff>
                    <xdr:row>11</xdr:row>
                    <xdr:rowOff>257175</xdr:rowOff>
                  </from>
                  <to>
                    <xdr:col>7</xdr:col>
                    <xdr:colOff>4181475</xdr:colOff>
                    <xdr:row>12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8F16-C020-4F0B-AC6D-A9C06CE69DDC}">
  <sheetPr codeName="Sheet9"/>
  <dimension ref="A1:D19"/>
  <sheetViews>
    <sheetView workbookViewId="0">
      <selection activeCell="D9" sqref="D9"/>
    </sheetView>
  </sheetViews>
  <sheetFormatPr defaultRowHeight="28.5" customHeight="1" x14ac:dyDescent="0.4"/>
  <cols>
    <col min="4" max="4" width="54.375" style="1" customWidth="1"/>
  </cols>
  <sheetData>
    <row r="1" spans="1:4" ht="39" customHeight="1" x14ac:dyDescent="0.4">
      <c r="A1" s="18" t="s">
        <v>70</v>
      </c>
      <c r="B1" s="18"/>
      <c r="D1" s="10" t="s">
        <v>69</v>
      </c>
    </row>
    <row r="2" spans="1:4" ht="28.5" customHeight="1" x14ac:dyDescent="0.4">
      <c r="A2" s="6">
        <v>0</v>
      </c>
      <c r="B2" s="7">
        <v>0</v>
      </c>
      <c r="D2" s="1" t="s">
        <v>75</v>
      </c>
    </row>
    <row r="3" spans="1:4" ht="28.5" customHeight="1" x14ac:dyDescent="0.4">
      <c r="A3" s="6">
        <v>1</v>
      </c>
      <c r="B3" s="7">
        <v>250</v>
      </c>
    </row>
    <row r="4" spans="1:4" ht="28.5" customHeight="1" x14ac:dyDescent="0.4">
      <c r="A4" s="6">
        <v>2</v>
      </c>
      <c r="B4" s="7">
        <v>200</v>
      </c>
    </row>
    <row r="5" spans="1:4" ht="28.5" customHeight="1" x14ac:dyDescent="0.4">
      <c r="A5" s="6">
        <v>3</v>
      </c>
      <c r="B5" s="7">
        <v>200</v>
      </c>
    </row>
    <row r="6" spans="1:4" ht="28.5" customHeight="1" x14ac:dyDescent="0.4">
      <c r="A6" s="6">
        <v>4</v>
      </c>
      <c r="B6" s="7">
        <v>200</v>
      </c>
    </row>
    <row r="7" spans="1:4" ht="28.5" customHeight="1" x14ac:dyDescent="0.4">
      <c r="A7" s="6">
        <v>5</v>
      </c>
      <c r="B7" s="7">
        <v>100</v>
      </c>
    </row>
    <row r="8" spans="1:4" ht="28.5" customHeight="1" x14ac:dyDescent="0.4">
      <c r="A8" s="6">
        <v>6</v>
      </c>
      <c r="B8" s="7">
        <v>100</v>
      </c>
    </row>
    <row r="9" spans="1:4" ht="28.5" customHeight="1" x14ac:dyDescent="0.4">
      <c r="A9" s="6">
        <v>7</v>
      </c>
      <c r="B9" s="7">
        <v>100</v>
      </c>
    </row>
    <row r="10" spans="1:4" ht="28.5" customHeight="1" x14ac:dyDescent="0.4">
      <c r="A10" s="6">
        <v>8</v>
      </c>
      <c r="B10" s="7">
        <v>50</v>
      </c>
    </row>
    <row r="11" spans="1:4" ht="28.5" customHeight="1" x14ac:dyDescent="0.4">
      <c r="A11" s="6">
        <v>9</v>
      </c>
      <c r="B11" s="7">
        <v>50</v>
      </c>
    </row>
    <row r="12" spans="1:4" ht="28.5" customHeight="1" x14ac:dyDescent="0.4">
      <c r="A12" s="6" t="s">
        <v>61</v>
      </c>
      <c r="B12" s="7">
        <v>50</v>
      </c>
    </row>
    <row r="13" spans="1:4" ht="28.5" customHeight="1" x14ac:dyDescent="0.4">
      <c r="A13" s="6" t="s">
        <v>62</v>
      </c>
      <c r="B13" s="7">
        <v>50</v>
      </c>
    </row>
    <row r="14" spans="1:4" ht="28.5" customHeight="1" x14ac:dyDescent="0.4">
      <c r="A14" s="6" t="s">
        <v>63</v>
      </c>
      <c r="B14" s="7">
        <v>50</v>
      </c>
    </row>
    <row r="15" spans="1:4" ht="28.5" customHeight="1" x14ac:dyDescent="0.4">
      <c r="A15" s="8" t="s">
        <v>64</v>
      </c>
      <c r="B15" s="9">
        <v>50</v>
      </c>
    </row>
    <row r="16" spans="1:4" ht="28.5" customHeight="1" x14ac:dyDescent="0.4">
      <c r="A16" s="6" t="s">
        <v>49</v>
      </c>
      <c r="B16" s="7">
        <v>50</v>
      </c>
    </row>
    <row r="17" spans="1:4" ht="28.5" customHeight="1" x14ac:dyDescent="0.4">
      <c r="A17" s="6" t="s">
        <v>66</v>
      </c>
      <c r="B17" s="7">
        <v>0</v>
      </c>
    </row>
    <row r="18" spans="1:4" ht="28.5" customHeight="1" x14ac:dyDescent="0.4">
      <c r="A18" s="1" t="s">
        <v>67</v>
      </c>
      <c r="B18">
        <f>SUM(B2:B17)</f>
        <v>1500</v>
      </c>
    </row>
    <row r="19" spans="1:4" ht="280.5" customHeight="1" x14ac:dyDescent="0.4">
      <c r="D19" s="11" t="s">
        <v>72</v>
      </c>
    </row>
  </sheetData>
  <mergeCells count="1">
    <mergeCell ref="A1:B1"/>
  </mergeCells>
  <phoneticPr fontId="1"/>
  <conditionalFormatting sqref="B18">
    <cfRule type="cellIs" dxfId="3" priority="1" operator="equal">
      <formula>1500</formula>
    </cfRule>
    <cfRule type="cellIs" dxfId="2" priority="2" operator="lessThan">
      <formula>1500</formula>
    </cfRule>
    <cfRule type="cellIs" dxfId="1" priority="4" operator="greaterThan">
      <formula>1500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reateArray">
                <anchor moveWithCells="1" sizeWithCells="1">
                  <from>
                    <xdr:col>3</xdr:col>
                    <xdr:colOff>133350</xdr:colOff>
                    <xdr:row>3</xdr:row>
                    <xdr:rowOff>304800</xdr:rowOff>
                  </from>
                  <to>
                    <xdr:col>3</xdr:col>
                    <xdr:colOff>1952625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InputToCells">
                <anchor moveWithCells="1" sizeWithCells="1">
                  <from>
                    <xdr:col>3</xdr:col>
                    <xdr:colOff>2257425</xdr:colOff>
                    <xdr:row>3</xdr:row>
                    <xdr:rowOff>314325</xdr:rowOff>
                  </from>
                  <to>
                    <xdr:col>3</xdr:col>
                    <xdr:colOff>4076700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A53A2-6308-4027-9784-3EA25564ACBF}">
  <sheetPr codeName="Sheet4"/>
  <dimension ref="A1:D114"/>
  <sheetViews>
    <sheetView workbookViewId="0">
      <selection activeCell="E4" sqref="E4"/>
    </sheetView>
  </sheetViews>
  <sheetFormatPr defaultRowHeight="18.75" x14ac:dyDescent="0.4"/>
  <cols>
    <col min="1" max="1" width="14.75" bestFit="1" customWidth="1"/>
    <col min="2" max="2" width="11.875" bestFit="1" customWidth="1"/>
  </cols>
  <sheetData>
    <row r="1" spans="1:4" x14ac:dyDescent="0.4">
      <c r="A1" t="s">
        <v>54</v>
      </c>
      <c r="B1" t="s">
        <v>55</v>
      </c>
      <c r="D1" t="s">
        <v>56</v>
      </c>
    </row>
    <row r="2" spans="1:4" x14ac:dyDescent="0.4">
      <c r="A2">
        <f t="shared" ref="A2:A33" si="0">ROW(A2)-1</f>
        <v>1</v>
      </c>
      <c r="B2">
        <v>3.5673000000000003E-2</v>
      </c>
      <c r="D2">
        <f>AVERAGE(application[Column2])</f>
        <v>2.6681044247787604E-2</v>
      </c>
    </row>
    <row r="3" spans="1:4" x14ac:dyDescent="0.4">
      <c r="A3">
        <f t="shared" si="0"/>
        <v>2</v>
      </c>
      <c r="B3">
        <v>2.6868E-2</v>
      </c>
    </row>
    <row r="4" spans="1:4" x14ac:dyDescent="0.4">
      <c r="A4">
        <f t="shared" si="0"/>
        <v>3</v>
      </c>
      <c r="B4">
        <v>2.4034E-2</v>
      </c>
    </row>
    <row r="5" spans="1:4" x14ac:dyDescent="0.4">
      <c r="A5">
        <f t="shared" si="0"/>
        <v>4</v>
      </c>
      <c r="B5">
        <v>2.3175000000000001E-2</v>
      </c>
    </row>
    <row r="6" spans="1:4" x14ac:dyDescent="0.4">
      <c r="A6">
        <f t="shared" si="0"/>
        <v>5</v>
      </c>
      <c r="B6">
        <v>2.4771000000000001E-2</v>
      </c>
    </row>
    <row r="7" spans="1:4" x14ac:dyDescent="0.4">
      <c r="A7">
        <f t="shared" si="0"/>
        <v>6</v>
      </c>
      <c r="B7">
        <v>2.6075000000000001E-2</v>
      </c>
    </row>
    <row r="8" spans="1:4" x14ac:dyDescent="0.4">
      <c r="A8">
        <f t="shared" si="0"/>
        <v>7</v>
      </c>
      <c r="B8">
        <v>2.6866999999999999E-2</v>
      </c>
    </row>
    <row r="9" spans="1:4" x14ac:dyDescent="0.4">
      <c r="A9">
        <f t="shared" si="0"/>
        <v>8</v>
      </c>
      <c r="B9">
        <v>2.1994E-2</v>
      </c>
    </row>
    <row r="10" spans="1:4" x14ac:dyDescent="0.4">
      <c r="A10">
        <f t="shared" si="0"/>
        <v>9</v>
      </c>
      <c r="B10">
        <v>2.0493000000000001E-2</v>
      </c>
    </row>
    <row r="11" spans="1:4" x14ac:dyDescent="0.4">
      <c r="A11">
        <f t="shared" si="0"/>
        <v>10</v>
      </c>
      <c r="B11">
        <v>2.6224999999999998E-2</v>
      </c>
    </row>
    <row r="12" spans="1:4" x14ac:dyDescent="0.4">
      <c r="A12">
        <f t="shared" si="0"/>
        <v>11</v>
      </c>
      <c r="B12">
        <v>2.5627E-2</v>
      </c>
    </row>
    <row r="13" spans="1:4" x14ac:dyDescent="0.4">
      <c r="A13">
        <f t="shared" si="0"/>
        <v>12</v>
      </c>
      <c r="B13">
        <v>2.7394000000000002E-2</v>
      </c>
    </row>
    <row r="14" spans="1:4" x14ac:dyDescent="0.4">
      <c r="A14">
        <f t="shared" si="0"/>
        <v>13</v>
      </c>
      <c r="B14">
        <v>3.4877999999999999E-2</v>
      </c>
    </row>
    <row r="15" spans="1:4" x14ac:dyDescent="0.4">
      <c r="A15">
        <f t="shared" si="0"/>
        <v>14</v>
      </c>
      <c r="B15">
        <v>2.4893999999999999E-2</v>
      </c>
    </row>
    <row r="16" spans="1:4" x14ac:dyDescent="0.4">
      <c r="A16">
        <f t="shared" si="0"/>
        <v>15</v>
      </c>
      <c r="B16">
        <v>3.5367000000000003E-2</v>
      </c>
    </row>
    <row r="17" spans="1:2" x14ac:dyDescent="0.4">
      <c r="A17">
        <f t="shared" si="0"/>
        <v>16</v>
      </c>
      <c r="B17">
        <v>3.0179999999999998E-2</v>
      </c>
    </row>
    <row r="18" spans="1:2" x14ac:dyDescent="0.4">
      <c r="A18">
        <f t="shared" si="0"/>
        <v>17</v>
      </c>
      <c r="B18">
        <v>3.6302000000000001E-2</v>
      </c>
    </row>
    <row r="19" spans="1:2" x14ac:dyDescent="0.4">
      <c r="A19">
        <f t="shared" si="0"/>
        <v>18</v>
      </c>
      <c r="B19">
        <v>4.0955999999999999E-2</v>
      </c>
    </row>
    <row r="20" spans="1:2" x14ac:dyDescent="0.4">
      <c r="A20">
        <f t="shared" si="0"/>
        <v>19</v>
      </c>
      <c r="B20">
        <v>2.3056E-2</v>
      </c>
    </row>
    <row r="21" spans="1:2" x14ac:dyDescent="0.4">
      <c r="A21">
        <f t="shared" si="0"/>
        <v>20</v>
      </c>
      <c r="B21">
        <v>3.4346000000000002E-2</v>
      </c>
    </row>
    <row r="22" spans="1:2" x14ac:dyDescent="0.4">
      <c r="A22">
        <f t="shared" si="0"/>
        <v>21</v>
      </c>
      <c r="B22">
        <v>4.5101000000000002E-2</v>
      </c>
    </row>
    <row r="23" spans="1:2" x14ac:dyDescent="0.4">
      <c r="A23">
        <f t="shared" si="0"/>
        <v>22</v>
      </c>
      <c r="B23">
        <v>5.1563999999999999E-2</v>
      </c>
    </row>
    <row r="24" spans="1:2" x14ac:dyDescent="0.4">
      <c r="A24">
        <f t="shared" si="0"/>
        <v>23</v>
      </c>
      <c r="B24">
        <v>2.6110000000000001E-2</v>
      </c>
    </row>
    <row r="25" spans="1:2" x14ac:dyDescent="0.4">
      <c r="A25">
        <f t="shared" si="0"/>
        <v>24</v>
      </c>
      <c r="B25">
        <v>2.6353000000000001E-2</v>
      </c>
    </row>
    <row r="26" spans="1:2" x14ac:dyDescent="0.4">
      <c r="A26">
        <f t="shared" si="0"/>
        <v>25</v>
      </c>
      <c r="B26">
        <v>2.3282000000000001E-2</v>
      </c>
    </row>
    <row r="27" spans="1:2" x14ac:dyDescent="0.4">
      <c r="A27">
        <f t="shared" si="0"/>
        <v>26</v>
      </c>
      <c r="B27">
        <v>1.5582E-2</v>
      </c>
    </row>
    <row r="28" spans="1:2" x14ac:dyDescent="0.4">
      <c r="A28">
        <f t="shared" si="0"/>
        <v>27</v>
      </c>
      <c r="B28">
        <v>1.6327999999999999E-2</v>
      </c>
    </row>
    <row r="29" spans="1:2" x14ac:dyDescent="0.4">
      <c r="A29">
        <f t="shared" si="0"/>
        <v>28</v>
      </c>
      <c r="B29">
        <v>2.1047E-2</v>
      </c>
    </row>
    <row r="30" spans="1:2" x14ac:dyDescent="0.4">
      <c r="A30">
        <f t="shared" si="0"/>
        <v>29</v>
      </c>
      <c r="B30">
        <v>2.0424000000000001E-2</v>
      </c>
    </row>
    <row r="31" spans="1:2" x14ac:dyDescent="0.4">
      <c r="A31">
        <f t="shared" si="0"/>
        <v>30</v>
      </c>
      <c r="B31">
        <v>2.1399999999999999E-2</v>
      </c>
    </row>
    <row r="32" spans="1:2" x14ac:dyDescent="0.4">
      <c r="A32">
        <f t="shared" si="0"/>
        <v>31</v>
      </c>
      <c r="B32">
        <v>2.4715999999999998E-2</v>
      </c>
    </row>
    <row r="33" spans="1:2" x14ac:dyDescent="0.4">
      <c r="A33">
        <f t="shared" si="0"/>
        <v>32</v>
      </c>
      <c r="B33">
        <v>2.3671999999999999E-2</v>
      </c>
    </row>
    <row r="34" spans="1:2" x14ac:dyDescent="0.4">
      <c r="A34">
        <f t="shared" ref="A34:A65" si="1">ROW(A34)-1</f>
        <v>33</v>
      </c>
      <c r="B34">
        <v>3.0376E-2</v>
      </c>
    </row>
    <row r="35" spans="1:2" x14ac:dyDescent="0.4">
      <c r="A35">
        <f t="shared" si="1"/>
        <v>34</v>
      </c>
      <c r="B35">
        <v>2.0466999999999999E-2</v>
      </c>
    </row>
    <row r="36" spans="1:2" x14ac:dyDescent="0.4">
      <c r="A36">
        <f t="shared" si="1"/>
        <v>35</v>
      </c>
      <c r="B36">
        <v>2.2960000000000001E-2</v>
      </c>
    </row>
    <row r="37" spans="1:2" x14ac:dyDescent="0.4">
      <c r="A37">
        <f t="shared" si="1"/>
        <v>36</v>
      </c>
      <c r="B37">
        <v>3.0678E-2</v>
      </c>
    </row>
    <row r="38" spans="1:2" x14ac:dyDescent="0.4">
      <c r="A38">
        <f t="shared" si="1"/>
        <v>37</v>
      </c>
      <c r="B38">
        <v>3.4030999999999999E-2</v>
      </c>
    </row>
    <row r="39" spans="1:2" x14ac:dyDescent="0.4">
      <c r="A39">
        <f t="shared" si="1"/>
        <v>38</v>
      </c>
      <c r="B39">
        <v>3.0446999999999998E-2</v>
      </c>
    </row>
    <row r="40" spans="1:2" x14ac:dyDescent="0.4">
      <c r="A40">
        <f t="shared" si="1"/>
        <v>39</v>
      </c>
      <c r="B40">
        <v>3.1493E-2</v>
      </c>
    </row>
    <row r="41" spans="1:2" x14ac:dyDescent="0.4">
      <c r="A41">
        <f t="shared" si="1"/>
        <v>40</v>
      </c>
      <c r="B41">
        <v>3.4699000000000001E-2</v>
      </c>
    </row>
    <row r="42" spans="1:2" x14ac:dyDescent="0.4">
      <c r="A42">
        <f t="shared" si="1"/>
        <v>41</v>
      </c>
      <c r="B42">
        <v>3.9060999999999998E-2</v>
      </c>
    </row>
    <row r="43" spans="1:2" x14ac:dyDescent="0.4">
      <c r="A43">
        <f t="shared" si="1"/>
        <v>42</v>
      </c>
      <c r="B43">
        <v>3.7544000000000001E-2</v>
      </c>
    </row>
    <row r="44" spans="1:2" x14ac:dyDescent="0.4">
      <c r="A44">
        <f t="shared" si="1"/>
        <v>43</v>
      </c>
      <c r="B44">
        <v>2.6724000000000001E-2</v>
      </c>
    </row>
    <row r="45" spans="1:2" x14ac:dyDescent="0.4">
      <c r="A45">
        <f t="shared" si="1"/>
        <v>44</v>
      </c>
      <c r="B45">
        <v>2.6772000000000001E-2</v>
      </c>
    </row>
    <row r="46" spans="1:2" x14ac:dyDescent="0.4">
      <c r="A46">
        <f t="shared" si="1"/>
        <v>45</v>
      </c>
      <c r="B46">
        <v>2.6023999999999999E-2</v>
      </c>
    </row>
    <row r="47" spans="1:2" x14ac:dyDescent="0.4">
      <c r="A47">
        <f t="shared" si="1"/>
        <v>46</v>
      </c>
      <c r="B47">
        <v>2.0434999999999998E-2</v>
      </c>
    </row>
    <row r="48" spans="1:2" x14ac:dyDescent="0.4">
      <c r="A48">
        <f t="shared" si="1"/>
        <v>47</v>
      </c>
      <c r="B48">
        <v>2.1332E-2</v>
      </c>
    </row>
    <row r="49" spans="1:2" x14ac:dyDescent="0.4">
      <c r="A49">
        <f t="shared" si="1"/>
        <v>48</v>
      </c>
      <c r="B49">
        <v>1.6621E-2</v>
      </c>
    </row>
    <row r="50" spans="1:2" x14ac:dyDescent="0.4">
      <c r="A50">
        <f t="shared" si="1"/>
        <v>49</v>
      </c>
      <c r="B50">
        <v>1.6903000000000001E-2</v>
      </c>
    </row>
    <row r="51" spans="1:2" x14ac:dyDescent="0.4">
      <c r="A51">
        <f t="shared" si="1"/>
        <v>50</v>
      </c>
      <c r="B51">
        <v>2.3774E-2</v>
      </c>
    </row>
    <row r="52" spans="1:2" x14ac:dyDescent="0.4">
      <c r="A52">
        <f t="shared" si="1"/>
        <v>51</v>
      </c>
      <c r="B52">
        <v>1.9684E-2</v>
      </c>
    </row>
    <row r="53" spans="1:2" x14ac:dyDescent="0.4">
      <c r="A53">
        <f t="shared" si="1"/>
        <v>52</v>
      </c>
      <c r="B53">
        <v>2.6526000000000001E-2</v>
      </c>
    </row>
    <row r="54" spans="1:2" x14ac:dyDescent="0.4">
      <c r="A54">
        <f t="shared" si="1"/>
        <v>53</v>
      </c>
      <c r="B54">
        <v>3.2188000000000001E-2</v>
      </c>
    </row>
    <row r="55" spans="1:2" x14ac:dyDescent="0.4">
      <c r="A55">
        <f t="shared" si="1"/>
        <v>54</v>
      </c>
      <c r="B55">
        <v>3.7393999999999997E-2</v>
      </c>
    </row>
    <row r="56" spans="1:2" x14ac:dyDescent="0.4">
      <c r="A56">
        <f t="shared" si="1"/>
        <v>55</v>
      </c>
      <c r="B56">
        <v>2.4461E-2</v>
      </c>
    </row>
    <row r="57" spans="1:2" x14ac:dyDescent="0.4">
      <c r="A57">
        <f t="shared" si="1"/>
        <v>56</v>
      </c>
      <c r="B57">
        <v>2.0825E-2</v>
      </c>
    </row>
    <row r="58" spans="1:2" x14ac:dyDescent="0.4">
      <c r="A58">
        <f t="shared" si="1"/>
        <v>57</v>
      </c>
      <c r="B58">
        <v>2.4069E-2</v>
      </c>
    </row>
    <row r="59" spans="1:2" x14ac:dyDescent="0.4">
      <c r="A59">
        <f t="shared" si="1"/>
        <v>58</v>
      </c>
      <c r="B59">
        <v>2.7857E-2</v>
      </c>
    </row>
    <row r="60" spans="1:2" x14ac:dyDescent="0.4">
      <c r="A60">
        <f t="shared" si="1"/>
        <v>59</v>
      </c>
      <c r="B60">
        <v>2.8011000000000001E-2</v>
      </c>
    </row>
    <row r="61" spans="1:2" x14ac:dyDescent="0.4">
      <c r="A61">
        <f t="shared" si="1"/>
        <v>60</v>
      </c>
      <c r="B61">
        <v>2.4445999999999999E-2</v>
      </c>
    </row>
    <row r="62" spans="1:2" x14ac:dyDescent="0.4">
      <c r="A62">
        <f t="shared" si="1"/>
        <v>61</v>
      </c>
      <c r="B62">
        <v>3.2926999999999998E-2</v>
      </c>
    </row>
    <row r="63" spans="1:2" x14ac:dyDescent="0.4">
      <c r="A63">
        <f t="shared" si="1"/>
        <v>62</v>
      </c>
      <c r="B63">
        <v>3.4063000000000003E-2</v>
      </c>
    </row>
    <row r="64" spans="1:2" x14ac:dyDescent="0.4">
      <c r="A64">
        <f t="shared" si="1"/>
        <v>63</v>
      </c>
      <c r="B64">
        <v>2.7015000000000001E-2</v>
      </c>
    </row>
    <row r="65" spans="1:2" x14ac:dyDescent="0.4">
      <c r="A65">
        <f t="shared" si="1"/>
        <v>64</v>
      </c>
      <c r="B65">
        <v>2.9092E-2</v>
      </c>
    </row>
    <row r="66" spans="1:2" x14ac:dyDescent="0.4">
      <c r="A66">
        <f t="shared" ref="A66:A97" si="2">ROW(A66)-1</f>
        <v>65</v>
      </c>
      <c r="B66">
        <v>2.0072E-2</v>
      </c>
    </row>
    <row r="67" spans="1:2" x14ac:dyDescent="0.4">
      <c r="A67">
        <f t="shared" si="2"/>
        <v>66</v>
      </c>
      <c r="B67">
        <v>2.5661E-2</v>
      </c>
    </row>
    <row r="68" spans="1:2" x14ac:dyDescent="0.4">
      <c r="A68">
        <f t="shared" si="2"/>
        <v>67</v>
      </c>
      <c r="B68">
        <v>1.7929E-2</v>
      </c>
    </row>
    <row r="69" spans="1:2" x14ac:dyDescent="0.4">
      <c r="A69">
        <f t="shared" si="2"/>
        <v>68</v>
      </c>
      <c r="B69">
        <v>1.6958999999999998E-2</v>
      </c>
    </row>
    <row r="70" spans="1:2" x14ac:dyDescent="0.4">
      <c r="A70">
        <f t="shared" si="2"/>
        <v>69</v>
      </c>
      <c r="B70">
        <v>1.7749000000000001E-2</v>
      </c>
    </row>
    <row r="71" spans="1:2" x14ac:dyDescent="0.4">
      <c r="A71">
        <f t="shared" si="2"/>
        <v>70</v>
      </c>
      <c r="B71">
        <v>2.7081000000000001E-2</v>
      </c>
    </row>
    <row r="72" spans="1:2" x14ac:dyDescent="0.4">
      <c r="A72">
        <f t="shared" si="2"/>
        <v>71</v>
      </c>
      <c r="B72">
        <v>2.5753000000000002E-2</v>
      </c>
    </row>
    <row r="73" spans="1:2" x14ac:dyDescent="0.4">
      <c r="A73">
        <f t="shared" si="2"/>
        <v>72</v>
      </c>
      <c r="B73">
        <v>3.2083E-2</v>
      </c>
    </row>
    <row r="74" spans="1:2" x14ac:dyDescent="0.4">
      <c r="A74">
        <f t="shared" si="2"/>
        <v>73</v>
      </c>
      <c r="B74">
        <v>2.6752999999999999E-2</v>
      </c>
    </row>
    <row r="75" spans="1:2" x14ac:dyDescent="0.4">
      <c r="A75">
        <f t="shared" si="2"/>
        <v>74</v>
      </c>
      <c r="B75">
        <v>2.3852000000000002E-2</v>
      </c>
    </row>
    <row r="76" spans="1:2" x14ac:dyDescent="0.4">
      <c r="A76">
        <f t="shared" si="2"/>
        <v>75</v>
      </c>
      <c r="B76">
        <v>3.2438000000000002E-2</v>
      </c>
    </row>
    <row r="77" spans="1:2" x14ac:dyDescent="0.4">
      <c r="A77">
        <f t="shared" si="2"/>
        <v>76</v>
      </c>
      <c r="B77">
        <v>2.7362999999999998E-2</v>
      </c>
    </row>
    <row r="78" spans="1:2" x14ac:dyDescent="0.4">
      <c r="A78">
        <f t="shared" si="2"/>
        <v>77</v>
      </c>
      <c r="B78">
        <v>2.5988000000000001E-2</v>
      </c>
    </row>
    <row r="79" spans="1:2" x14ac:dyDescent="0.4">
      <c r="A79">
        <f t="shared" si="2"/>
        <v>78</v>
      </c>
      <c r="B79">
        <v>2.8916000000000001E-2</v>
      </c>
    </row>
    <row r="80" spans="1:2" x14ac:dyDescent="0.4">
      <c r="A80">
        <f t="shared" si="2"/>
        <v>79</v>
      </c>
      <c r="B80">
        <v>2.6369E-2</v>
      </c>
    </row>
    <row r="81" spans="1:2" x14ac:dyDescent="0.4">
      <c r="A81">
        <f t="shared" si="2"/>
        <v>80</v>
      </c>
      <c r="B81">
        <v>3.1439000000000002E-2</v>
      </c>
    </row>
    <row r="82" spans="1:2" x14ac:dyDescent="0.4">
      <c r="A82">
        <f t="shared" si="2"/>
        <v>81</v>
      </c>
      <c r="B82">
        <v>3.4735000000000002E-2</v>
      </c>
    </row>
    <row r="83" spans="1:2" x14ac:dyDescent="0.4">
      <c r="A83">
        <f t="shared" si="2"/>
        <v>82</v>
      </c>
      <c r="B83">
        <v>3.1806000000000001E-2</v>
      </c>
    </row>
    <row r="84" spans="1:2" x14ac:dyDescent="0.4">
      <c r="A84">
        <f t="shared" si="2"/>
        <v>83</v>
      </c>
      <c r="B84">
        <v>3.8443999999999999E-2</v>
      </c>
    </row>
    <row r="85" spans="1:2" x14ac:dyDescent="0.4">
      <c r="A85">
        <f t="shared" si="2"/>
        <v>84</v>
      </c>
      <c r="B85">
        <v>3.3401E-2</v>
      </c>
    </row>
    <row r="86" spans="1:2" x14ac:dyDescent="0.4">
      <c r="A86">
        <f t="shared" si="2"/>
        <v>85</v>
      </c>
      <c r="B86">
        <v>2.5035000000000002E-2</v>
      </c>
    </row>
    <row r="87" spans="1:2" x14ac:dyDescent="0.4">
      <c r="A87">
        <f t="shared" si="2"/>
        <v>86</v>
      </c>
      <c r="B87">
        <v>2.4937999999999998E-2</v>
      </c>
    </row>
    <row r="88" spans="1:2" x14ac:dyDescent="0.4">
      <c r="A88">
        <f t="shared" si="2"/>
        <v>87</v>
      </c>
      <c r="B88">
        <v>2.8124E-2</v>
      </c>
    </row>
    <row r="89" spans="1:2" x14ac:dyDescent="0.4">
      <c r="A89">
        <f t="shared" si="2"/>
        <v>88</v>
      </c>
      <c r="B89">
        <v>2.6880999999999999E-2</v>
      </c>
    </row>
    <row r="90" spans="1:2" x14ac:dyDescent="0.4">
      <c r="A90">
        <f t="shared" si="2"/>
        <v>89</v>
      </c>
      <c r="B90">
        <v>1.7996000000000002E-2</v>
      </c>
    </row>
    <row r="91" spans="1:2" x14ac:dyDescent="0.4">
      <c r="A91">
        <f t="shared" si="2"/>
        <v>90</v>
      </c>
      <c r="B91">
        <v>1.8469999999999999E-3</v>
      </c>
    </row>
    <row r="92" spans="1:2" x14ac:dyDescent="0.4">
      <c r="A92">
        <f t="shared" si="2"/>
        <v>91</v>
      </c>
      <c r="B92">
        <v>9.7199999999999999E-4</v>
      </c>
    </row>
    <row r="93" spans="1:2" x14ac:dyDescent="0.4">
      <c r="A93">
        <f t="shared" si="2"/>
        <v>92</v>
      </c>
      <c r="B93">
        <v>2.1549999999999998E-3</v>
      </c>
    </row>
    <row r="94" spans="1:2" x14ac:dyDescent="0.4">
      <c r="A94">
        <f t="shared" si="2"/>
        <v>93</v>
      </c>
      <c r="B94">
        <v>1.73E-3</v>
      </c>
    </row>
    <row r="95" spans="1:2" x14ac:dyDescent="0.4">
      <c r="A95">
        <f t="shared" si="2"/>
        <v>94</v>
      </c>
      <c r="B95">
        <v>1.0269999999999999E-3</v>
      </c>
    </row>
    <row r="96" spans="1:2" x14ac:dyDescent="0.4">
      <c r="A96">
        <f t="shared" si="2"/>
        <v>95</v>
      </c>
      <c r="B96">
        <v>1.64E-3</v>
      </c>
    </row>
    <row r="97" spans="1:2" x14ac:dyDescent="0.4">
      <c r="A97">
        <f t="shared" si="2"/>
        <v>96</v>
      </c>
      <c r="B97">
        <v>2.7520000000000001E-3</v>
      </c>
    </row>
    <row r="98" spans="1:2" x14ac:dyDescent="0.4">
      <c r="A98">
        <f t="shared" ref="A98:A114" si="3">ROW(A98)-1</f>
        <v>97</v>
      </c>
      <c r="B98">
        <v>2.5624999999999998E-2</v>
      </c>
    </row>
    <row r="99" spans="1:2" x14ac:dyDescent="0.4">
      <c r="A99">
        <f t="shared" si="3"/>
        <v>98</v>
      </c>
      <c r="B99">
        <v>3.5305999999999997E-2</v>
      </c>
    </row>
    <row r="100" spans="1:2" x14ac:dyDescent="0.4">
      <c r="A100">
        <f t="shared" si="3"/>
        <v>99</v>
      </c>
      <c r="B100">
        <v>4.011E-2</v>
      </c>
    </row>
    <row r="101" spans="1:2" x14ac:dyDescent="0.4">
      <c r="A101">
        <f t="shared" si="3"/>
        <v>100</v>
      </c>
      <c r="B101">
        <v>3.7367999999999998E-2</v>
      </c>
    </row>
    <row r="102" spans="1:2" x14ac:dyDescent="0.4">
      <c r="A102">
        <f t="shared" si="3"/>
        <v>101</v>
      </c>
      <c r="B102">
        <v>6.7361000000000004E-2</v>
      </c>
    </row>
    <row r="103" spans="1:2" x14ac:dyDescent="0.4">
      <c r="A103">
        <f t="shared" si="3"/>
        <v>102</v>
      </c>
      <c r="B103">
        <v>2.1344999999999999E-2</v>
      </c>
    </row>
    <row r="104" spans="1:2" x14ac:dyDescent="0.4">
      <c r="A104">
        <f t="shared" si="3"/>
        <v>103</v>
      </c>
      <c r="B104">
        <v>3.2717000000000003E-2</v>
      </c>
    </row>
    <row r="105" spans="1:2" x14ac:dyDescent="0.4">
      <c r="A105">
        <f t="shared" si="3"/>
        <v>104</v>
      </c>
      <c r="B105">
        <v>2.2349000000000001E-2</v>
      </c>
    </row>
    <row r="106" spans="1:2" x14ac:dyDescent="0.4">
      <c r="A106">
        <f t="shared" si="3"/>
        <v>105</v>
      </c>
      <c r="B106">
        <v>4.1175000000000003E-2</v>
      </c>
    </row>
    <row r="107" spans="1:2" x14ac:dyDescent="0.4">
      <c r="A107">
        <f t="shared" si="3"/>
        <v>106</v>
      </c>
      <c r="B107">
        <v>1.8714999999999999E-2</v>
      </c>
    </row>
    <row r="108" spans="1:2" x14ac:dyDescent="0.4">
      <c r="A108">
        <f t="shared" si="3"/>
        <v>107</v>
      </c>
      <c r="B108">
        <v>2.0413000000000001E-2</v>
      </c>
    </row>
    <row r="109" spans="1:2" x14ac:dyDescent="0.4">
      <c r="A109">
        <f t="shared" si="3"/>
        <v>108</v>
      </c>
      <c r="B109">
        <v>2.4111E-2</v>
      </c>
    </row>
    <row r="110" spans="1:2" x14ac:dyDescent="0.4">
      <c r="A110">
        <f t="shared" si="3"/>
        <v>109</v>
      </c>
      <c r="B110">
        <v>2.4885000000000001E-2</v>
      </c>
    </row>
    <row r="111" spans="1:2" x14ac:dyDescent="0.4">
      <c r="A111">
        <f t="shared" si="3"/>
        <v>110</v>
      </c>
      <c r="B111">
        <v>3.7629999999999997E-2</v>
      </c>
    </row>
    <row r="112" spans="1:2" x14ac:dyDescent="0.4">
      <c r="A112">
        <f t="shared" si="3"/>
        <v>111</v>
      </c>
      <c r="B112">
        <v>4.0280999999999997E-2</v>
      </c>
    </row>
    <row r="113" spans="1:2" x14ac:dyDescent="0.4">
      <c r="A113">
        <f t="shared" si="3"/>
        <v>112</v>
      </c>
      <c r="B113">
        <v>3.6922000000000003E-2</v>
      </c>
    </row>
    <row r="114" spans="1:2" x14ac:dyDescent="0.4">
      <c r="A114">
        <f t="shared" si="3"/>
        <v>113</v>
      </c>
      <c r="B114">
        <v>4.5103999999999998E-2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CA868-58FE-45C2-9C36-676E25BC3D9C}">
  <sheetPr codeName="Sheet6"/>
  <dimension ref="A1:D23"/>
  <sheetViews>
    <sheetView workbookViewId="0">
      <selection activeCell="M13" sqref="M13"/>
    </sheetView>
  </sheetViews>
  <sheetFormatPr defaultRowHeight="18.75" x14ac:dyDescent="0.4"/>
  <cols>
    <col min="1" max="16384" width="9" style="1"/>
  </cols>
  <sheetData>
    <row r="1" spans="1:4" x14ac:dyDescent="0.4">
      <c r="A1" s="1" t="s">
        <v>22</v>
      </c>
      <c r="B1" s="1" t="s">
        <v>23</v>
      </c>
      <c r="C1" s="1" t="s">
        <v>24</v>
      </c>
      <c r="D1" s="1" t="s">
        <v>25</v>
      </c>
    </row>
    <row r="2" spans="1:4" x14ac:dyDescent="0.4">
      <c r="A2" s="1">
        <v>0</v>
      </c>
      <c r="B2" s="1">
        <v>-2</v>
      </c>
      <c r="C2" s="1">
        <v>0</v>
      </c>
      <c r="D2" s="1" t="s">
        <v>26</v>
      </c>
    </row>
    <row r="3" spans="1:4" x14ac:dyDescent="0.4">
      <c r="A3" s="1">
        <v>1</v>
      </c>
      <c r="B3" s="1">
        <v>-1</v>
      </c>
      <c r="C3" s="1">
        <v>0</v>
      </c>
      <c r="D3" s="1">
        <v>0</v>
      </c>
    </row>
    <row r="4" spans="1:4" x14ac:dyDescent="0.4">
      <c r="A4" s="1">
        <v>2</v>
      </c>
      <c r="B4" s="1">
        <v>0</v>
      </c>
      <c r="C4" s="1">
        <v>0</v>
      </c>
      <c r="D4" s="1" t="s">
        <v>27</v>
      </c>
    </row>
    <row r="5" spans="1:4" x14ac:dyDescent="0.4">
      <c r="A5" s="1">
        <v>3</v>
      </c>
      <c r="B5" s="1">
        <v>1</v>
      </c>
      <c r="C5" s="1">
        <v>0</v>
      </c>
      <c r="D5" s="1">
        <v>1</v>
      </c>
    </row>
    <row r="6" spans="1:4" x14ac:dyDescent="0.4">
      <c r="A6" s="1">
        <v>4</v>
      </c>
      <c r="B6" s="1">
        <v>2</v>
      </c>
      <c r="C6" s="1">
        <v>0</v>
      </c>
      <c r="D6" s="1" t="s">
        <v>28</v>
      </c>
    </row>
    <row r="7" spans="1:4" x14ac:dyDescent="0.4">
      <c r="A7" s="1">
        <v>5</v>
      </c>
      <c r="B7" s="1">
        <v>3</v>
      </c>
      <c r="C7" s="1">
        <v>0</v>
      </c>
      <c r="D7" s="1" t="s">
        <v>29</v>
      </c>
    </row>
    <row r="8" spans="1:4" x14ac:dyDescent="0.4">
      <c r="A8" s="1">
        <v>6</v>
      </c>
      <c r="B8" s="1">
        <v>-2</v>
      </c>
      <c r="C8" s="1">
        <v>2</v>
      </c>
      <c r="D8" s="1" t="s">
        <v>30</v>
      </c>
    </row>
    <row r="9" spans="1:4" x14ac:dyDescent="0.4">
      <c r="A9" s="1">
        <v>7</v>
      </c>
      <c r="B9" s="1">
        <v>-1</v>
      </c>
      <c r="C9" s="1">
        <v>2</v>
      </c>
      <c r="D9" s="1" t="s">
        <v>31</v>
      </c>
    </row>
    <row r="10" spans="1:4" x14ac:dyDescent="0.4">
      <c r="A10" s="1">
        <v>8</v>
      </c>
      <c r="B10" s="1">
        <v>0</v>
      </c>
      <c r="C10" s="1">
        <v>2</v>
      </c>
      <c r="D10" s="1" t="s">
        <v>32</v>
      </c>
    </row>
    <row r="11" spans="1:4" x14ac:dyDescent="0.4">
      <c r="A11" s="1">
        <v>9</v>
      </c>
      <c r="B11" s="1">
        <v>1</v>
      </c>
      <c r="C11" s="1">
        <v>2</v>
      </c>
      <c r="D11" s="1" t="s">
        <v>33</v>
      </c>
    </row>
    <row r="12" spans="1:4" x14ac:dyDescent="0.4">
      <c r="A12" s="1">
        <v>10</v>
      </c>
      <c r="B12" s="1">
        <v>2</v>
      </c>
      <c r="C12" s="1">
        <v>2</v>
      </c>
      <c r="D12" s="1" t="s">
        <v>34</v>
      </c>
    </row>
    <row r="13" spans="1:4" x14ac:dyDescent="0.4">
      <c r="A13" s="1">
        <v>11</v>
      </c>
      <c r="B13" s="1">
        <v>3</v>
      </c>
      <c r="C13" s="1">
        <v>2</v>
      </c>
      <c r="D13" s="1" t="s">
        <v>35</v>
      </c>
    </row>
    <row r="14" spans="1:4" x14ac:dyDescent="0.4">
      <c r="A14" s="1">
        <v>12</v>
      </c>
      <c r="B14" s="1">
        <v>-1</v>
      </c>
      <c r="C14" s="1">
        <v>1</v>
      </c>
      <c r="D14" s="1" t="s">
        <v>37</v>
      </c>
    </row>
    <row r="15" spans="1:4" x14ac:dyDescent="0.4">
      <c r="A15" s="1">
        <v>13</v>
      </c>
      <c r="B15" s="1">
        <v>0</v>
      </c>
      <c r="C15" s="1">
        <v>1</v>
      </c>
      <c r="D15" s="1">
        <v>2</v>
      </c>
    </row>
    <row r="16" spans="1:4" x14ac:dyDescent="0.4">
      <c r="A16" s="1">
        <v>14</v>
      </c>
      <c r="B16" s="1">
        <v>1</v>
      </c>
      <c r="C16" s="1">
        <v>1</v>
      </c>
      <c r="D16" s="1" t="s">
        <v>36</v>
      </c>
    </row>
    <row r="17" spans="1:4" x14ac:dyDescent="0.4">
      <c r="A17" s="1">
        <v>15</v>
      </c>
      <c r="B17" s="1">
        <v>2</v>
      </c>
      <c r="C17" s="1">
        <v>1</v>
      </c>
      <c r="D17" s="1" t="s">
        <v>38</v>
      </c>
    </row>
    <row r="18" spans="1:4" x14ac:dyDescent="0.4">
      <c r="A18" s="1">
        <v>16</v>
      </c>
      <c r="B18" s="1">
        <v>3</v>
      </c>
      <c r="C18" s="1">
        <v>1</v>
      </c>
      <c r="D18" s="1" t="s">
        <v>39</v>
      </c>
    </row>
    <row r="19" spans="1:4" x14ac:dyDescent="0.4">
      <c r="A19" s="1">
        <v>17</v>
      </c>
      <c r="B19" s="1">
        <v>-2</v>
      </c>
      <c r="C19" s="1">
        <v>3</v>
      </c>
      <c r="D19" s="1" t="s">
        <v>40</v>
      </c>
    </row>
    <row r="20" spans="1:4" x14ac:dyDescent="0.4">
      <c r="A20" s="1">
        <v>18</v>
      </c>
      <c r="B20" s="1">
        <v>-1</v>
      </c>
      <c r="C20" s="1">
        <v>3</v>
      </c>
      <c r="D20" s="1" t="s">
        <v>41</v>
      </c>
    </row>
    <row r="21" spans="1:4" x14ac:dyDescent="0.4">
      <c r="A21" s="1">
        <v>19</v>
      </c>
      <c r="B21" s="1">
        <v>0</v>
      </c>
      <c r="C21" s="1">
        <v>3</v>
      </c>
      <c r="D21" s="1">
        <v>3</v>
      </c>
    </row>
    <row r="22" spans="1:4" x14ac:dyDescent="0.4">
      <c r="A22" s="1">
        <v>20</v>
      </c>
      <c r="B22" s="1">
        <v>1</v>
      </c>
      <c r="C22" s="1">
        <v>3</v>
      </c>
      <c r="D22" s="1" t="s">
        <v>42</v>
      </c>
    </row>
    <row r="23" spans="1:4" x14ac:dyDescent="0.4">
      <c r="A23" s="1">
        <v>21</v>
      </c>
      <c r="B23" s="1">
        <v>2</v>
      </c>
      <c r="C23" s="1">
        <v>3</v>
      </c>
      <c r="D23" s="1" t="s">
        <v>43</v>
      </c>
    </row>
  </sheetData>
  <autoFilter ref="A1:C23" xr:uid="{1B3CA868-58FE-45C2-9C36-676E25BC3D9C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3957-D822-49C0-88DC-14D2B0B4A8EA}">
  <sheetPr codeName="Sheet7"/>
  <dimension ref="A1:M30"/>
  <sheetViews>
    <sheetView workbookViewId="0">
      <selection activeCell="A6" sqref="A6"/>
    </sheetView>
  </sheetViews>
  <sheetFormatPr defaultRowHeight="18.75" x14ac:dyDescent="0.4"/>
  <cols>
    <col min="1" max="1" width="39.25" bestFit="1" customWidth="1"/>
    <col min="2" max="4" width="9" style="1"/>
    <col min="5" max="5" width="17.625" style="1" bestFit="1" customWidth="1"/>
    <col min="6" max="16384" width="9" style="1"/>
  </cols>
  <sheetData>
    <row r="1" spans="1:3" x14ac:dyDescent="0.4">
      <c r="B1" s="1" t="s">
        <v>50</v>
      </c>
      <c r="C1" s="1" t="s">
        <v>47</v>
      </c>
    </row>
    <row r="2" spans="1:3" x14ac:dyDescent="0.4">
      <c r="A2" s="3" t="s">
        <v>51</v>
      </c>
      <c r="B2" s="1" t="s">
        <v>27</v>
      </c>
      <c r="C2" s="1" t="s">
        <v>27</v>
      </c>
    </row>
    <row r="3" spans="1:3" x14ac:dyDescent="0.4">
      <c r="A3" t="s">
        <v>52</v>
      </c>
      <c r="B3" s="1">
        <v>23</v>
      </c>
      <c r="C3" s="1" t="s">
        <v>27</v>
      </c>
    </row>
    <row r="4" spans="1:3" x14ac:dyDescent="0.4">
      <c r="A4" t="s">
        <v>53</v>
      </c>
      <c r="B4" s="1">
        <v>23</v>
      </c>
      <c r="C4" s="1">
        <v>1</v>
      </c>
    </row>
    <row r="5" spans="1:3" x14ac:dyDescent="0.4">
      <c r="A5" t="s">
        <v>53</v>
      </c>
      <c r="B5" s="1">
        <v>23</v>
      </c>
      <c r="C5" s="1">
        <v>0</v>
      </c>
    </row>
    <row r="6" spans="1:3" x14ac:dyDescent="0.4">
      <c r="B6" s="1">
        <v>23</v>
      </c>
      <c r="C6" s="1">
        <v>-1</v>
      </c>
    </row>
    <row r="27" spans="10:13" x14ac:dyDescent="0.4">
      <c r="J27" s="1" t="s">
        <v>48</v>
      </c>
    </row>
    <row r="30" spans="10:13" x14ac:dyDescent="0.4">
      <c r="M30" s="1" t="s">
        <v>49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CF9499-CC07-4692-B146-7C47D53614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盤面の解析</vt:lpstr>
      <vt:lpstr>color</vt:lpstr>
      <vt:lpstr>テンプレート配列の作成</vt:lpstr>
      <vt:lpstr>重み配列の作成</vt:lpstr>
      <vt:lpstr>application</vt:lpstr>
      <vt:lpstr>dropPlace</vt:lpstr>
      <vt:lpstr>trace</vt:lpstr>
      <vt:lpstr>A0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美佐 渡口</dc:creator>
  <cp:lastModifiedBy>美佐 渡口</cp:lastModifiedBy>
  <dcterms:created xsi:type="dcterms:W3CDTF">2024-06-30T05:02:58Z</dcterms:created>
  <dcterms:modified xsi:type="dcterms:W3CDTF">2025-07-30T03:53:03Z</dcterms:modified>
</cp:coreProperties>
</file>